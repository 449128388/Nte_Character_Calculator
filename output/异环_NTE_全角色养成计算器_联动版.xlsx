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养成计算器" sheetId="1" state="visible" r:id="rId1"/>
    <sheet name="角色等级突破材料总表" sheetId="2" state="visible" r:id="rId2"/>
    <sheet name="弧盘强化总表" sheetId="3" state="visible" r:id="rId3"/>
    <sheet name="全角色突破材料对照" sheetId="4" state="visible" r:id="rId4"/>
    <sheet name="全弧盘突破材料对照" sheetId="5" state="visible" r:id="rId5"/>
    <sheet name="材料合成换算表" sheetId="6" state="visible" r:id="rId6"/>
    <sheet name="人物经验书对照表" sheetId="7" state="visible" r:id="rId7"/>
    <sheet name="弧盘经验书对照表" sheetId="8" state="visible" r:id="rId8"/>
    <sheet name="技能材料总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b val="1"/>
      <color rgb="00C65911"/>
      <sz val="10"/>
    </font>
    <font>
      <color rgb="00203864"/>
      <sz val="10"/>
    </font>
    <font>
      <color rgb="00375623"/>
      <sz val="10"/>
    </font>
    <font>
      <b val="1"/>
      <color rgb="00C00000"/>
      <sz val="10"/>
    </font>
    <font>
      <b val="1"/>
      <color rgb="00FFFFFF"/>
      <sz val="12"/>
    </font>
    <font>
      <i val="1"/>
      <color rgb="00999999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4B084"/>
        <bgColor rgb="00F4B084"/>
      </patternFill>
    </fill>
    <fill>
      <patternFill patternType="solid">
        <fgColor rgb="00A9D08E"/>
        <bgColor rgb="00A9D08E"/>
      </patternFill>
    </fill>
    <fill>
      <patternFill patternType="solid">
        <fgColor rgb="009BC2E6"/>
        <bgColor rgb="009BC2E6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12" customWidth="1" min="25" max="25"/>
    <col width="10" customWidth="1" min="26" max="26"/>
    <col width="12" customWidth="1" min="27" max="27"/>
    <col width="10" customWidth="1" min="28" max="28"/>
    <col width="12" customWidth="1" min="29" max="29"/>
    <col width="10" customWidth="1" min="30" max="30"/>
    <col width="12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32" customHeight="1">
      <c r="A1" s="1" t="inlineStr">
        <is>
          <t>异环 NTE 全角色养成计算器（突破 + 弧盘 联动版）—— 录入角色名/弧盘名自动匹配材料</t>
        </is>
      </c>
    </row>
    <row r="2" ht="28" customHeight="1">
      <c r="A2" s="2" t="inlineStr">
        <is>
          <t>使用说明：黄色区域为录入区；浅蓝色区域为自动匹配的材料名称；绿色区域为自动计算的缺口数量；橙色区域为汇总。请勿手动修改公式。</t>
        </is>
      </c>
    </row>
    <row r="4" ht="36" customHeight="1">
      <c r="A4" s="3" t="inlineStr">
        <is>
          <t>序号</t>
        </is>
      </c>
      <c r="B4" s="3" t="inlineStr">
        <is>
          <t>角色名</t>
        </is>
      </c>
      <c r="C4" s="3" t="inlineStr">
        <is>
          <t>当前等级</t>
        </is>
      </c>
      <c r="D4" s="3" t="inlineStr">
        <is>
          <t>目标等级</t>
        </is>
      </c>
      <c r="E4" s="3" t="inlineStr">
        <is>
          <t>弧盘名</t>
        </is>
      </c>
      <c r="F4" s="3" t="inlineStr">
        <is>
          <t>当前弧盘等级</t>
        </is>
      </c>
      <c r="G4" s="3" t="inlineStr">
        <is>
          <t>目标弧盘等级</t>
        </is>
      </c>
      <c r="H4" s="3" t="inlineStr">
        <is>
          <t>备注</t>
        </is>
      </c>
      <c r="I4" s="4" t="inlineStr">
        <is>
          <t>突破素材
名称</t>
        </is>
      </c>
      <c r="J4" s="4" t="inlineStr">
        <is>
          <t>突破素材
数量</t>
        </is>
      </c>
      <c r="K4" s="4" t="inlineStr">
        <is>
          <t>低级异像
名称</t>
        </is>
      </c>
      <c r="L4" s="4" t="inlineStr">
        <is>
          <t>低级异像
数量</t>
        </is>
      </c>
      <c r="M4" s="4" t="inlineStr">
        <is>
          <t>中级异像
名称</t>
        </is>
      </c>
      <c r="N4" s="4" t="inlineStr">
        <is>
          <t>中级异像
数量</t>
        </is>
      </c>
      <c r="O4" s="4" t="inlineStr">
        <is>
          <t>高级异像
名称</t>
        </is>
      </c>
      <c r="P4" s="4" t="inlineStr">
        <is>
          <t>高级异像
数量</t>
        </is>
      </c>
      <c r="Q4" s="4" t="inlineStr">
        <is>
          <t>新锐
攻略</t>
        </is>
      </c>
      <c r="R4" s="4" t="inlineStr">
        <is>
          <t>资深
攻略</t>
        </is>
      </c>
      <c r="S4" s="4" t="inlineStr">
        <is>
          <t>特级
攻略</t>
        </is>
      </c>
      <c r="T4" s="4" t="inlineStr">
        <is>
          <t>角色突破
金币</t>
        </is>
      </c>
      <c r="U4" s="5" t="inlineStr">
        <is>
          <t>低级弧盘
名称</t>
        </is>
      </c>
      <c r="V4" s="5" t="inlineStr">
        <is>
          <t>低级弧盘
数量</t>
        </is>
      </c>
      <c r="W4" s="5" t="inlineStr">
        <is>
          <t>中级弧盘
名称</t>
        </is>
      </c>
      <c r="X4" s="5" t="inlineStr">
        <is>
          <t>中级弧盘
数量</t>
        </is>
      </c>
      <c r="Y4" s="5" t="inlineStr">
        <is>
          <t>高级弧盘
名称</t>
        </is>
      </c>
      <c r="Z4" s="5" t="inlineStr">
        <is>
          <t>高级弧盘
数量</t>
        </is>
      </c>
      <c r="AA4" s="5" t="inlineStr">
        <is>
          <t>弧盘低级
异像名称</t>
        </is>
      </c>
      <c r="AB4" s="5" t="inlineStr">
        <is>
          <t>弧盘低级
异像数量</t>
        </is>
      </c>
      <c r="AC4" s="5" t="inlineStr">
        <is>
          <t>弧盘中级
异像名称</t>
        </is>
      </c>
      <c r="AD4" s="5" t="inlineStr">
        <is>
          <t>弧盘中级
异像数量</t>
        </is>
      </c>
      <c r="AE4" s="5" t="inlineStr">
        <is>
          <t>弧盘高级
异像名称</t>
        </is>
      </c>
      <c r="AF4" s="5" t="inlineStr">
        <is>
          <t>弧盘高级
异像数量</t>
        </is>
      </c>
      <c r="AG4" s="5" t="inlineStr">
        <is>
          <t>淡色
染剂</t>
        </is>
      </c>
      <c r="AH4" s="5" t="inlineStr">
        <is>
          <t>无彩
染剂</t>
        </is>
      </c>
      <c r="AI4" s="5" t="inlineStr">
        <is>
          <t>混沌
染剂</t>
        </is>
      </c>
      <c r="AJ4" s="5" t="inlineStr">
        <is>
          <t>弧盘强化
金币</t>
        </is>
      </c>
      <c r="AK4" s="6" t="inlineStr">
        <is>
          <t>总金币</t>
        </is>
      </c>
      <c r="AL4" s="6" t="inlineStr">
        <is>
          <t>总染剂
经验</t>
        </is>
      </c>
      <c r="AM4" s="6" t="inlineStr">
        <is>
          <t>总低级
异像</t>
        </is>
      </c>
      <c r="AN4" s="6" t="inlineStr">
        <is>
          <t>总中级
异像</t>
        </is>
      </c>
      <c r="AO4" s="6" t="inlineStr">
        <is>
          <t>总高级
异像</t>
        </is>
      </c>
    </row>
    <row r="5" ht="22" customHeight="1">
      <c r="A5" t="n">
        <v>1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8">
        <f>IF(B5="","",IFERROR(VLOOKUP(B5,全角色突破材料对照!$A:$E,2,FALSE),"未找到"))</f>
        <v/>
      </c>
      <c r="J5" s="9">
        <f>IF(OR(B5="",C5="",D5=""),"",SUMIF(角色等级突破材料总表!$A:$A,"&lt;="&amp;D5,角色等级突破材料总表!$E:$E)-SUMIF(角色等级突破材料总表!$A:$A,"&lt;="&amp;C5,角色等级突破材料总表!$E:$E))</f>
        <v/>
      </c>
      <c r="K5" s="8">
        <f>IF(B5="","",IFERROR(VLOOKUP(B5,全角色突破材料对照!$A:$E,3,FALSE),""))</f>
        <v/>
      </c>
      <c r="L5" s="9">
        <f>IF(OR(B5="",C5="",D5=""),"",SUMIF(角色等级突破材料总表!$A:$A,"&lt;="&amp;D5,角色等级突破材料总表!$B:$B)-SUMIF(角色等级突破材料总表!$A:$A,"&lt;="&amp;C5,角色等级突破材料总表!$B:$B))</f>
        <v/>
      </c>
      <c r="M5" s="8">
        <f>IF(B5="","",IFERROR(VLOOKUP(B5,全角色突破材料对照!$A:$E,4,FALSE),""))</f>
        <v/>
      </c>
      <c r="N5" s="9">
        <f>IF(OR(B5="",C5="",D5=""),"",SUMIF(角色等级突破材料总表!$A:$A,"&lt;="&amp;D5,角色等级突破材料总表!$C:$C)-SUMIF(角色等级突破材料总表!$A:$A,"&lt;="&amp;C5,角色等级突破材料总表!$C:$C))</f>
        <v/>
      </c>
      <c r="O5" s="8">
        <f>IF(B5="","",IFERROR(VLOOKUP(B5,全角色突破材料对照!$A:$E,5,FALSE),""))</f>
        <v/>
      </c>
      <c r="P5" s="9">
        <f>IF(OR(B5="",C5="",D5=""),"",SUMIF(角色等级突破材料总表!$A:$A,"&lt;="&amp;D5,角色等级突破材料总表!$D:$D)-SUMIF(角色等级突破材料总表!$A:$A,"&lt;="&amp;C5,角色等级突破材料总表!$D:$D))</f>
        <v/>
      </c>
      <c r="Q5" s="9">
        <f>IF(OR(B5="",C5="",D5=""),"",SUMIF(角色等级突破材料总表!$A:$A,"&lt;="&amp;D5,角色等级突破材料总表!$F:$F)-SUMIF(角色等级突破材料总表!$A:$A,"&lt;="&amp;C5,角色等级突破材料总表!$F:$F))</f>
        <v/>
      </c>
      <c r="R5" s="9">
        <f>IF(OR(B5="",C5="",D5=""),"",SUMIF(角色等级突破材料总表!$A:$A,"&lt;="&amp;D5,角色等级突破材料总表!$G:$G)-SUMIF(角色等级突破材料总表!$A:$A,"&lt;="&amp;C5,角色等级突破材料总表!$G:$G))</f>
        <v/>
      </c>
      <c r="S5" s="9">
        <f>IF(OR(B5="",C5="",D5=""),"",SUMIF(角色等级突破材料总表!$A:$A,"&lt;="&amp;D5,角色等级突破材料总表!$H:$H)-SUMIF(角色等级突破材料总表!$A:$A,"&lt;="&amp;C5,角色等级突破材料总表!$H:$H))</f>
        <v/>
      </c>
      <c r="T5" s="9">
        <f>IF(OR(B5="",C5="",D5=""),"",SUMIF(角色等级突破材料总表!$A:$A,"&lt;="&amp;D5,角色等级突破材料总表!$I:$I)-SUMIF(角色等级突破材料总表!$A:$A,"&lt;="&amp;C5,角色等级突破材料总表!$I:$I))</f>
        <v/>
      </c>
      <c r="U5" s="8">
        <f>IF(E5="","",IFERROR(VLOOKUP(E5,全弧盘突破材料对照!$A:$H,6,FALSE),"未找到"))</f>
        <v/>
      </c>
      <c r="V5" s="9">
        <f>IF(OR(E5="",F5="",G5=""),"",SUMIF(弧盘强化总表!$A:$A,"&lt;="&amp;G5,弧盘强化总表!$B:$B)-SUMIF(弧盘强化总表!$A:$A,"&lt;="&amp;F5,弧盘强化总表!$B:$B))</f>
        <v/>
      </c>
      <c r="W5" s="8">
        <f>IF(E5="","",IFERROR(VLOOKUP(E5,全弧盘突破材料对照!$A:$H,7,FALSE),""))</f>
        <v/>
      </c>
      <c r="X5" s="9">
        <f>IF(OR(E5="",F5="",G5=""),"",SUMIF(弧盘强化总表!$A:$A,"&lt;="&amp;G5,弧盘强化总表!$C:$C)-SUMIF(弧盘强化总表!$A:$A,"&lt;="&amp;F5,弧盘强化总表!$C:$C))</f>
        <v/>
      </c>
      <c r="Y5" s="8">
        <f>IF(E5="","",IFERROR(VLOOKUP(E5,全弧盘突破材料对照!$A:$H,8,FALSE),""))</f>
        <v/>
      </c>
      <c r="Z5" s="9">
        <f>IF(OR(E5="",F5="",G5=""),"",SUMIF(弧盘强化总表!$A:$A,"&lt;="&amp;G5,弧盘强化总表!$D:$D)-SUMIF(弧盘强化总表!$A:$A,"&lt;="&amp;F5,弧盘强化总表!$D:$D))</f>
        <v/>
      </c>
      <c r="AA5" s="8">
        <f>IF(E5="","",IFERROR(VLOOKUP(E5,全弧盘突破材料对照!$A:$H,3,FALSE),""))</f>
        <v/>
      </c>
      <c r="AB5" s="9">
        <f>IF(OR(E5="",F5="",G5=""),"",SUMIF(弧盘强化总表!$A:$A,"&lt;="&amp;G5,弧盘强化总表!$E:$E)-SUMIF(弧盘强化总表!$A:$A,"&lt;="&amp;F5,弧盘强化总表!$E:$E))</f>
        <v/>
      </c>
      <c r="AC5" s="8">
        <f>IF(E5="","",IFERROR(VLOOKUP(E5,全弧盘突破材料对照!$A:$H,4,FALSE),""))</f>
        <v/>
      </c>
      <c r="AD5" s="9">
        <f>IF(OR(E5="",F5="",G5=""),"",SUMIF(弧盘强化总表!$A:$A,"&lt;="&amp;G5,弧盘强化总表!$F:$F)-SUMIF(弧盘强化总表!$A:$A,"&lt;="&amp;F5,弧盘强化总表!$F:$F))</f>
        <v/>
      </c>
      <c r="AE5" s="8">
        <f>IF(E5="","",IFERROR(VLOOKUP(E5,全弧盘突破材料对照!$A:$H,5,FALSE),""))</f>
        <v/>
      </c>
      <c r="AF5" s="9">
        <f>IF(OR(E5="",F5="",G5=""),"",SUMIF(弧盘强化总表!$A:$A,"&lt;="&amp;G5,弧盘强化总表!$G:$G)-SUMIF(弧盘强化总表!$A:$A,"&lt;="&amp;F5,弧盘强化总表!$G:$G))</f>
        <v/>
      </c>
      <c r="AG5" s="9">
        <f>IF(OR(E5="",F5="",G5=""),"",SUMIF(弧盘强化总表!$A:$A,"&lt;="&amp;G5,弧盘强化总表!$H:$H)-SUMIF(弧盘强化总表!$A:$A,"&lt;="&amp;F5,弧盘强化总表!$H:$H))</f>
        <v/>
      </c>
      <c r="AH5" s="9">
        <f>IF(OR(E5="",F5="",G5=""),"",SUMIF(弧盘强化总表!$A:$A,"&lt;="&amp;G5,弧盘强化总表!$I:$I)-SUMIF(弧盘强化总表!$A:$A,"&lt;="&amp;F5,弧盘强化总表!$I:$I))</f>
        <v/>
      </c>
      <c r="AI5" s="9">
        <f>IF(OR(E5="",F5="",G5=""),"",SUMIF(弧盘强化总表!$A:$A,"&lt;="&amp;G5,弧盘强化总表!$J:$J)-SUMIF(弧盘强化总表!$A:$A,"&lt;="&amp;F5,弧盘强化总表!$J:$J))</f>
        <v/>
      </c>
      <c r="AJ5" s="9">
        <f>IF(OR(E5="",F5="",G5=""),"",SUMIF(弧盘强化总表!$A:$A,"&lt;="&amp;G5,弧盘强化总表!$K:$K)-SUMIF(弧盘强化总表!$A:$A,"&lt;="&amp;F5,弧盘强化总表!$K:$K))</f>
        <v/>
      </c>
      <c r="AK5" s="10">
        <f>IF(B5="","",T5+AJ5)</f>
        <v/>
      </c>
      <c r="AL5" s="10">
        <f>IF(B5="","",AG5*500+AH5*2500+AI5*10000)</f>
        <v/>
      </c>
      <c r="AM5" s="10">
        <f>IF(B5="","",L5+AB5)</f>
        <v/>
      </c>
      <c r="AN5" s="10">
        <f>IF(B5="","",N5+AD5)</f>
        <v/>
      </c>
      <c r="AO5" s="10">
        <f>IF(B5="","",P5+AF5)</f>
        <v/>
      </c>
    </row>
    <row r="6" ht="22" customHeight="1">
      <c r="A6" t="n">
        <v>2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8">
        <f>IF(B6="","",IFERROR(VLOOKUP(B6,全角色突破材料对照!$A:$E,2,FALSE),"未找到"))</f>
        <v/>
      </c>
      <c r="J6" s="9">
        <f>IF(OR(B6="",C6="",D6=""),"",SUMIF(角色等级突破材料总表!$A:$A,"&lt;="&amp;D6,角色等级突破材料总表!$E:$E)-SUMIF(角色等级突破材料总表!$A:$A,"&lt;="&amp;C6,角色等级突破材料总表!$E:$E))</f>
        <v/>
      </c>
      <c r="K6" s="8">
        <f>IF(B6="","",IFERROR(VLOOKUP(B6,全角色突破材料对照!$A:$E,3,FALSE),""))</f>
        <v/>
      </c>
      <c r="L6" s="9">
        <f>IF(OR(B6="",C6="",D6=""),"",SUMIF(角色等级突破材料总表!$A:$A,"&lt;="&amp;D6,角色等级突破材料总表!$B:$B)-SUMIF(角色等级突破材料总表!$A:$A,"&lt;="&amp;C6,角色等级突破材料总表!$B:$B))</f>
        <v/>
      </c>
      <c r="M6" s="8">
        <f>IF(B6="","",IFERROR(VLOOKUP(B6,全角色突破材料对照!$A:$E,4,FALSE),""))</f>
        <v/>
      </c>
      <c r="N6" s="9">
        <f>IF(OR(B6="",C6="",D6=""),"",SUMIF(角色等级突破材料总表!$A:$A,"&lt;="&amp;D6,角色等级突破材料总表!$C:$C)-SUMIF(角色等级突破材料总表!$A:$A,"&lt;="&amp;C6,角色等级突破材料总表!$C:$C))</f>
        <v/>
      </c>
      <c r="O6" s="8">
        <f>IF(B6="","",IFERROR(VLOOKUP(B6,全角色突破材料对照!$A:$E,5,FALSE),""))</f>
        <v/>
      </c>
      <c r="P6" s="9">
        <f>IF(OR(B6="",C6="",D6=""),"",SUMIF(角色等级突破材料总表!$A:$A,"&lt;="&amp;D6,角色等级突破材料总表!$D:$D)-SUMIF(角色等级突破材料总表!$A:$A,"&lt;="&amp;C6,角色等级突破材料总表!$D:$D))</f>
        <v/>
      </c>
      <c r="Q6" s="9">
        <f>IF(OR(B6="",C6="",D6=""),"",SUMIF(角色等级突破材料总表!$A:$A,"&lt;="&amp;D6,角色等级突破材料总表!$F:$F)-SUMIF(角色等级突破材料总表!$A:$A,"&lt;="&amp;C6,角色等级突破材料总表!$F:$F))</f>
        <v/>
      </c>
      <c r="R6" s="9">
        <f>IF(OR(B6="",C6="",D6=""),"",SUMIF(角色等级突破材料总表!$A:$A,"&lt;="&amp;D6,角色等级突破材料总表!$G:$G)-SUMIF(角色等级突破材料总表!$A:$A,"&lt;="&amp;C6,角色等级突破材料总表!$G:$G))</f>
        <v/>
      </c>
      <c r="S6" s="9">
        <f>IF(OR(B6="",C6="",D6=""),"",SUMIF(角色等级突破材料总表!$A:$A,"&lt;="&amp;D6,角色等级突破材料总表!$H:$H)-SUMIF(角色等级突破材料总表!$A:$A,"&lt;="&amp;C6,角色等级突破材料总表!$H:$H))</f>
        <v/>
      </c>
      <c r="T6" s="9">
        <f>IF(OR(B6="",C6="",D6=""),"",SUMIF(角色等级突破材料总表!$A:$A,"&lt;="&amp;D6,角色等级突破材料总表!$I:$I)-SUMIF(角色等级突破材料总表!$A:$A,"&lt;="&amp;C6,角色等级突破材料总表!$I:$I))</f>
        <v/>
      </c>
      <c r="U6" s="8">
        <f>IF(E6="","",IFERROR(VLOOKUP(E6,全弧盘突破材料对照!$A:$H,6,FALSE),"未找到"))</f>
        <v/>
      </c>
      <c r="V6" s="9">
        <f>IF(OR(E6="",F6="",G6=""),"",SUMIF(弧盘强化总表!$A:$A,"&lt;="&amp;G6,弧盘强化总表!$B:$B)-SUMIF(弧盘强化总表!$A:$A,"&lt;="&amp;F6,弧盘强化总表!$B:$B))</f>
        <v/>
      </c>
      <c r="W6" s="8">
        <f>IF(E6="","",IFERROR(VLOOKUP(E6,全弧盘突破材料对照!$A:$H,7,FALSE),""))</f>
        <v/>
      </c>
      <c r="X6" s="9">
        <f>IF(OR(E6="",F6="",G6=""),"",SUMIF(弧盘强化总表!$A:$A,"&lt;="&amp;G6,弧盘强化总表!$C:$C)-SUMIF(弧盘强化总表!$A:$A,"&lt;="&amp;F6,弧盘强化总表!$C:$C))</f>
        <v/>
      </c>
      <c r="Y6" s="8">
        <f>IF(E6="","",IFERROR(VLOOKUP(E6,全弧盘突破材料对照!$A:$H,8,FALSE),""))</f>
        <v/>
      </c>
      <c r="Z6" s="9">
        <f>IF(OR(E6="",F6="",G6=""),"",SUMIF(弧盘强化总表!$A:$A,"&lt;="&amp;G6,弧盘强化总表!$D:$D)-SUMIF(弧盘强化总表!$A:$A,"&lt;="&amp;F6,弧盘强化总表!$D:$D))</f>
        <v/>
      </c>
      <c r="AA6" s="8">
        <f>IF(E6="","",IFERROR(VLOOKUP(E6,全弧盘突破材料对照!$A:$H,3,FALSE),""))</f>
        <v/>
      </c>
      <c r="AB6" s="9">
        <f>IF(OR(E6="",F6="",G6=""),"",SUMIF(弧盘强化总表!$A:$A,"&lt;="&amp;G6,弧盘强化总表!$E:$E)-SUMIF(弧盘强化总表!$A:$A,"&lt;="&amp;F6,弧盘强化总表!$E:$E))</f>
        <v/>
      </c>
      <c r="AC6" s="8">
        <f>IF(E6="","",IFERROR(VLOOKUP(E6,全弧盘突破材料对照!$A:$H,4,FALSE),""))</f>
        <v/>
      </c>
      <c r="AD6" s="9">
        <f>IF(OR(E6="",F6="",G6=""),"",SUMIF(弧盘强化总表!$A:$A,"&lt;="&amp;G6,弧盘强化总表!$F:$F)-SUMIF(弧盘强化总表!$A:$A,"&lt;="&amp;F6,弧盘强化总表!$F:$F))</f>
        <v/>
      </c>
      <c r="AE6" s="8">
        <f>IF(E6="","",IFERROR(VLOOKUP(E6,全弧盘突破材料对照!$A:$H,5,FALSE),""))</f>
        <v/>
      </c>
      <c r="AF6" s="9">
        <f>IF(OR(E6="",F6="",G6=""),"",SUMIF(弧盘强化总表!$A:$A,"&lt;="&amp;G6,弧盘强化总表!$G:$G)-SUMIF(弧盘强化总表!$A:$A,"&lt;="&amp;F6,弧盘强化总表!$G:$G))</f>
        <v/>
      </c>
      <c r="AG6" s="9">
        <f>IF(OR(E6="",F6="",G6=""),"",SUMIF(弧盘强化总表!$A:$A,"&lt;="&amp;G6,弧盘强化总表!$H:$H)-SUMIF(弧盘强化总表!$A:$A,"&lt;="&amp;F6,弧盘强化总表!$H:$H))</f>
        <v/>
      </c>
      <c r="AH6" s="9">
        <f>IF(OR(E6="",F6="",G6=""),"",SUMIF(弧盘强化总表!$A:$A,"&lt;="&amp;G6,弧盘强化总表!$I:$I)-SUMIF(弧盘强化总表!$A:$A,"&lt;="&amp;F6,弧盘强化总表!$I:$I))</f>
        <v/>
      </c>
      <c r="AI6" s="9">
        <f>IF(OR(E6="",F6="",G6=""),"",SUMIF(弧盘强化总表!$A:$A,"&lt;="&amp;G6,弧盘强化总表!$J:$J)-SUMIF(弧盘强化总表!$A:$A,"&lt;="&amp;F6,弧盘强化总表!$J:$J))</f>
        <v/>
      </c>
      <c r="AJ6" s="9">
        <f>IF(OR(E6="",F6="",G6=""),"",SUMIF(弧盘强化总表!$A:$A,"&lt;="&amp;G6,弧盘强化总表!$K:$K)-SUMIF(弧盘强化总表!$A:$A,"&lt;="&amp;F6,弧盘强化总表!$K:$K))</f>
        <v/>
      </c>
      <c r="AK6" s="10">
        <f>IF(B6="","",T6+AJ6)</f>
        <v/>
      </c>
      <c r="AL6" s="10">
        <f>IF(B6="","",AG6*500+AH6*2500+AI6*10000)</f>
        <v/>
      </c>
      <c r="AM6" s="10">
        <f>IF(B6="","",L6+AB6)</f>
        <v/>
      </c>
      <c r="AN6" s="10">
        <f>IF(B6="","",N6+AD6)</f>
        <v/>
      </c>
      <c r="AO6" s="10">
        <f>IF(B6="","",P6+AF6)</f>
        <v/>
      </c>
    </row>
    <row r="7" ht="22" customHeight="1">
      <c r="A7" t="n">
        <v>3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8">
        <f>IF(B7="","",IFERROR(VLOOKUP(B7,全角色突破材料对照!$A:$E,2,FALSE),"未找到"))</f>
        <v/>
      </c>
      <c r="J7" s="9">
        <f>IF(OR(B7="",C7="",D7=""),"",SUMIF(角色等级突破材料总表!$A:$A,"&lt;="&amp;D7,角色等级突破材料总表!$E:$E)-SUMIF(角色等级突破材料总表!$A:$A,"&lt;="&amp;C7,角色等级突破材料总表!$E:$E))</f>
        <v/>
      </c>
      <c r="K7" s="8">
        <f>IF(B7="","",IFERROR(VLOOKUP(B7,全角色突破材料对照!$A:$E,3,FALSE),""))</f>
        <v/>
      </c>
      <c r="L7" s="9">
        <f>IF(OR(B7="",C7="",D7=""),"",SUMIF(角色等级突破材料总表!$A:$A,"&lt;="&amp;D7,角色等级突破材料总表!$B:$B)-SUMIF(角色等级突破材料总表!$A:$A,"&lt;="&amp;C7,角色等级突破材料总表!$B:$B))</f>
        <v/>
      </c>
      <c r="M7" s="8">
        <f>IF(B7="","",IFERROR(VLOOKUP(B7,全角色突破材料对照!$A:$E,4,FALSE),""))</f>
        <v/>
      </c>
      <c r="N7" s="9">
        <f>IF(OR(B7="",C7="",D7=""),"",SUMIF(角色等级突破材料总表!$A:$A,"&lt;="&amp;D7,角色等级突破材料总表!$C:$C)-SUMIF(角色等级突破材料总表!$A:$A,"&lt;="&amp;C7,角色等级突破材料总表!$C:$C))</f>
        <v/>
      </c>
      <c r="O7" s="8">
        <f>IF(B7="","",IFERROR(VLOOKUP(B7,全角色突破材料对照!$A:$E,5,FALSE),""))</f>
        <v/>
      </c>
      <c r="P7" s="9">
        <f>IF(OR(B7="",C7="",D7=""),"",SUMIF(角色等级突破材料总表!$A:$A,"&lt;="&amp;D7,角色等级突破材料总表!$D:$D)-SUMIF(角色等级突破材料总表!$A:$A,"&lt;="&amp;C7,角色等级突破材料总表!$D:$D))</f>
        <v/>
      </c>
      <c r="Q7" s="9">
        <f>IF(OR(B7="",C7="",D7=""),"",SUMIF(角色等级突破材料总表!$A:$A,"&lt;="&amp;D7,角色等级突破材料总表!$F:$F)-SUMIF(角色等级突破材料总表!$A:$A,"&lt;="&amp;C7,角色等级突破材料总表!$F:$F))</f>
        <v/>
      </c>
      <c r="R7" s="9">
        <f>IF(OR(B7="",C7="",D7=""),"",SUMIF(角色等级突破材料总表!$A:$A,"&lt;="&amp;D7,角色等级突破材料总表!$G:$G)-SUMIF(角色等级突破材料总表!$A:$A,"&lt;="&amp;C7,角色等级突破材料总表!$G:$G))</f>
        <v/>
      </c>
      <c r="S7" s="9">
        <f>IF(OR(B7="",C7="",D7=""),"",SUMIF(角色等级突破材料总表!$A:$A,"&lt;="&amp;D7,角色等级突破材料总表!$H:$H)-SUMIF(角色等级突破材料总表!$A:$A,"&lt;="&amp;C7,角色等级突破材料总表!$H:$H))</f>
        <v/>
      </c>
      <c r="T7" s="9">
        <f>IF(OR(B7="",C7="",D7=""),"",SUMIF(角色等级突破材料总表!$A:$A,"&lt;="&amp;D7,角色等级突破材料总表!$I:$I)-SUMIF(角色等级突破材料总表!$A:$A,"&lt;="&amp;C7,角色等级突破材料总表!$I:$I))</f>
        <v/>
      </c>
      <c r="U7" s="8">
        <f>IF(E7="","",IFERROR(VLOOKUP(E7,全弧盘突破材料对照!$A:$H,6,FALSE),"未找到"))</f>
        <v/>
      </c>
      <c r="V7" s="9">
        <f>IF(OR(E7="",F7="",G7=""),"",SUMIF(弧盘强化总表!$A:$A,"&lt;="&amp;G7,弧盘强化总表!$B:$B)-SUMIF(弧盘强化总表!$A:$A,"&lt;="&amp;F7,弧盘强化总表!$B:$B))</f>
        <v/>
      </c>
      <c r="W7" s="8">
        <f>IF(E7="","",IFERROR(VLOOKUP(E7,全弧盘突破材料对照!$A:$H,7,FALSE),""))</f>
        <v/>
      </c>
      <c r="X7" s="9">
        <f>IF(OR(E7="",F7="",G7=""),"",SUMIF(弧盘强化总表!$A:$A,"&lt;="&amp;G7,弧盘强化总表!$C:$C)-SUMIF(弧盘强化总表!$A:$A,"&lt;="&amp;F7,弧盘强化总表!$C:$C))</f>
        <v/>
      </c>
      <c r="Y7" s="8">
        <f>IF(E7="","",IFERROR(VLOOKUP(E7,全弧盘突破材料对照!$A:$H,8,FALSE),""))</f>
        <v/>
      </c>
      <c r="Z7" s="9">
        <f>IF(OR(E7="",F7="",G7=""),"",SUMIF(弧盘强化总表!$A:$A,"&lt;="&amp;G7,弧盘强化总表!$D:$D)-SUMIF(弧盘强化总表!$A:$A,"&lt;="&amp;F7,弧盘强化总表!$D:$D))</f>
        <v/>
      </c>
      <c r="AA7" s="8">
        <f>IF(E7="","",IFERROR(VLOOKUP(E7,全弧盘突破材料对照!$A:$H,3,FALSE),""))</f>
        <v/>
      </c>
      <c r="AB7" s="9">
        <f>IF(OR(E7="",F7="",G7=""),"",SUMIF(弧盘强化总表!$A:$A,"&lt;="&amp;G7,弧盘强化总表!$E:$E)-SUMIF(弧盘强化总表!$A:$A,"&lt;="&amp;F7,弧盘强化总表!$E:$E))</f>
        <v/>
      </c>
      <c r="AC7" s="8">
        <f>IF(E7="","",IFERROR(VLOOKUP(E7,全弧盘突破材料对照!$A:$H,4,FALSE),""))</f>
        <v/>
      </c>
      <c r="AD7" s="9">
        <f>IF(OR(E7="",F7="",G7=""),"",SUMIF(弧盘强化总表!$A:$A,"&lt;="&amp;G7,弧盘强化总表!$F:$F)-SUMIF(弧盘强化总表!$A:$A,"&lt;="&amp;F7,弧盘强化总表!$F:$F))</f>
        <v/>
      </c>
      <c r="AE7" s="8">
        <f>IF(E7="","",IFERROR(VLOOKUP(E7,全弧盘突破材料对照!$A:$H,5,FALSE),""))</f>
        <v/>
      </c>
      <c r="AF7" s="9">
        <f>IF(OR(E7="",F7="",G7=""),"",SUMIF(弧盘强化总表!$A:$A,"&lt;="&amp;G7,弧盘强化总表!$G:$G)-SUMIF(弧盘强化总表!$A:$A,"&lt;="&amp;F7,弧盘强化总表!$G:$G))</f>
        <v/>
      </c>
      <c r="AG7" s="9">
        <f>IF(OR(E7="",F7="",G7=""),"",SUMIF(弧盘强化总表!$A:$A,"&lt;="&amp;G7,弧盘强化总表!$H:$H)-SUMIF(弧盘强化总表!$A:$A,"&lt;="&amp;F7,弧盘强化总表!$H:$H))</f>
        <v/>
      </c>
      <c r="AH7" s="9">
        <f>IF(OR(E7="",F7="",G7=""),"",SUMIF(弧盘强化总表!$A:$A,"&lt;="&amp;G7,弧盘强化总表!$I:$I)-SUMIF(弧盘强化总表!$A:$A,"&lt;="&amp;F7,弧盘强化总表!$I:$I))</f>
        <v/>
      </c>
      <c r="AI7" s="9">
        <f>IF(OR(E7="",F7="",G7=""),"",SUMIF(弧盘强化总表!$A:$A,"&lt;="&amp;G7,弧盘强化总表!$J:$J)-SUMIF(弧盘强化总表!$A:$A,"&lt;="&amp;F7,弧盘强化总表!$J:$J))</f>
        <v/>
      </c>
      <c r="AJ7" s="9">
        <f>IF(OR(E7="",F7="",G7=""),"",SUMIF(弧盘强化总表!$A:$A,"&lt;="&amp;G7,弧盘强化总表!$K:$K)-SUMIF(弧盘强化总表!$A:$A,"&lt;="&amp;F7,弧盘强化总表!$K:$K))</f>
        <v/>
      </c>
      <c r="AK7" s="10">
        <f>IF(B7="","",T7+AJ7)</f>
        <v/>
      </c>
      <c r="AL7" s="10">
        <f>IF(B7="","",AG7*500+AH7*2500+AI7*10000)</f>
        <v/>
      </c>
      <c r="AM7" s="10">
        <f>IF(B7="","",L7+AB7)</f>
        <v/>
      </c>
      <c r="AN7" s="10">
        <f>IF(B7="","",N7+AD7)</f>
        <v/>
      </c>
      <c r="AO7" s="10">
        <f>IF(B7="","",P7+AF7)</f>
        <v/>
      </c>
    </row>
    <row r="8" ht="22" customHeight="1">
      <c r="A8" t="n">
        <v>4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8">
        <f>IF(B8="","",IFERROR(VLOOKUP(B8,全角色突破材料对照!$A:$E,2,FALSE),"未找到"))</f>
        <v/>
      </c>
      <c r="J8" s="9">
        <f>IF(OR(B8="",C8="",D8=""),"",SUMIF(角色等级突破材料总表!$A:$A,"&lt;="&amp;D8,角色等级突破材料总表!$E:$E)-SUMIF(角色等级突破材料总表!$A:$A,"&lt;="&amp;C8,角色等级突破材料总表!$E:$E))</f>
        <v/>
      </c>
      <c r="K8" s="8">
        <f>IF(B8="","",IFERROR(VLOOKUP(B8,全角色突破材料对照!$A:$E,3,FALSE),""))</f>
        <v/>
      </c>
      <c r="L8" s="9">
        <f>IF(OR(B8="",C8="",D8=""),"",SUMIF(角色等级突破材料总表!$A:$A,"&lt;="&amp;D8,角色等级突破材料总表!$B:$B)-SUMIF(角色等级突破材料总表!$A:$A,"&lt;="&amp;C8,角色等级突破材料总表!$B:$B))</f>
        <v/>
      </c>
      <c r="M8" s="8">
        <f>IF(B8="","",IFERROR(VLOOKUP(B8,全角色突破材料对照!$A:$E,4,FALSE),""))</f>
        <v/>
      </c>
      <c r="N8" s="9">
        <f>IF(OR(B8="",C8="",D8=""),"",SUMIF(角色等级突破材料总表!$A:$A,"&lt;="&amp;D8,角色等级突破材料总表!$C:$C)-SUMIF(角色等级突破材料总表!$A:$A,"&lt;="&amp;C8,角色等级突破材料总表!$C:$C))</f>
        <v/>
      </c>
      <c r="O8" s="8">
        <f>IF(B8="","",IFERROR(VLOOKUP(B8,全角色突破材料对照!$A:$E,5,FALSE),""))</f>
        <v/>
      </c>
      <c r="P8" s="9">
        <f>IF(OR(B8="",C8="",D8=""),"",SUMIF(角色等级突破材料总表!$A:$A,"&lt;="&amp;D8,角色等级突破材料总表!$D:$D)-SUMIF(角色等级突破材料总表!$A:$A,"&lt;="&amp;C8,角色等级突破材料总表!$D:$D))</f>
        <v/>
      </c>
      <c r="Q8" s="9">
        <f>IF(OR(B8="",C8="",D8=""),"",SUMIF(角色等级突破材料总表!$A:$A,"&lt;="&amp;D8,角色等级突破材料总表!$F:$F)-SUMIF(角色等级突破材料总表!$A:$A,"&lt;="&amp;C8,角色等级突破材料总表!$F:$F))</f>
        <v/>
      </c>
      <c r="R8" s="9">
        <f>IF(OR(B8="",C8="",D8=""),"",SUMIF(角色等级突破材料总表!$A:$A,"&lt;="&amp;D8,角色等级突破材料总表!$G:$G)-SUMIF(角色等级突破材料总表!$A:$A,"&lt;="&amp;C8,角色等级突破材料总表!$G:$G))</f>
        <v/>
      </c>
      <c r="S8" s="9">
        <f>IF(OR(B8="",C8="",D8=""),"",SUMIF(角色等级突破材料总表!$A:$A,"&lt;="&amp;D8,角色等级突破材料总表!$H:$H)-SUMIF(角色等级突破材料总表!$A:$A,"&lt;="&amp;C8,角色等级突破材料总表!$H:$H))</f>
        <v/>
      </c>
      <c r="T8" s="9">
        <f>IF(OR(B8="",C8="",D8=""),"",SUMIF(角色等级突破材料总表!$A:$A,"&lt;="&amp;D8,角色等级突破材料总表!$I:$I)-SUMIF(角色等级突破材料总表!$A:$A,"&lt;="&amp;C8,角色等级突破材料总表!$I:$I))</f>
        <v/>
      </c>
      <c r="U8" s="8">
        <f>IF(E8="","",IFERROR(VLOOKUP(E8,全弧盘突破材料对照!$A:$H,6,FALSE),"未找到"))</f>
        <v/>
      </c>
      <c r="V8" s="9">
        <f>IF(OR(E8="",F8="",G8=""),"",SUMIF(弧盘强化总表!$A:$A,"&lt;="&amp;G8,弧盘强化总表!$B:$B)-SUMIF(弧盘强化总表!$A:$A,"&lt;="&amp;F8,弧盘强化总表!$B:$B))</f>
        <v/>
      </c>
      <c r="W8" s="8">
        <f>IF(E8="","",IFERROR(VLOOKUP(E8,全弧盘突破材料对照!$A:$H,7,FALSE),""))</f>
        <v/>
      </c>
      <c r="X8" s="9">
        <f>IF(OR(E8="",F8="",G8=""),"",SUMIF(弧盘强化总表!$A:$A,"&lt;="&amp;G8,弧盘强化总表!$C:$C)-SUMIF(弧盘强化总表!$A:$A,"&lt;="&amp;F8,弧盘强化总表!$C:$C))</f>
        <v/>
      </c>
      <c r="Y8" s="8">
        <f>IF(E8="","",IFERROR(VLOOKUP(E8,全弧盘突破材料对照!$A:$H,8,FALSE),""))</f>
        <v/>
      </c>
      <c r="Z8" s="9">
        <f>IF(OR(E8="",F8="",G8=""),"",SUMIF(弧盘强化总表!$A:$A,"&lt;="&amp;G8,弧盘强化总表!$D:$D)-SUMIF(弧盘强化总表!$A:$A,"&lt;="&amp;F8,弧盘强化总表!$D:$D))</f>
        <v/>
      </c>
      <c r="AA8" s="8">
        <f>IF(E8="","",IFERROR(VLOOKUP(E8,全弧盘突破材料对照!$A:$H,3,FALSE),""))</f>
        <v/>
      </c>
      <c r="AB8" s="9">
        <f>IF(OR(E8="",F8="",G8=""),"",SUMIF(弧盘强化总表!$A:$A,"&lt;="&amp;G8,弧盘强化总表!$E:$E)-SUMIF(弧盘强化总表!$A:$A,"&lt;="&amp;F8,弧盘强化总表!$E:$E))</f>
        <v/>
      </c>
      <c r="AC8" s="8">
        <f>IF(E8="","",IFERROR(VLOOKUP(E8,全弧盘突破材料对照!$A:$H,4,FALSE),""))</f>
        <v/>
      </c>
      <c r="AD8" s="9">
        <f>IF(OR(E8="",F8="",G8=""),"",SUMIF(弧盘强化总表!$A:$A,"&lt;="&amp;G8,弧盘强化总表!$F:$F)-SUMIF(弧盘强化总表!$A:$A,"&lt;="&amp;F8,弧盘强化总表!$F:$F))</f>
        <v/>
      </c>
      <c r="AE8" s="8">
        <f>IF(E8="","",IFERROR(VLOOKUP(E8,全弧盘突破材料对照!$A:$H,5,FALSE),""))</f>
        <v/>
      </c>
      <c r="AF8" s="9">
        <f>IF(OR(E8="",F8="",G8=""),"",SUMIF(弧盘强化总表!$A:$A,"&lt;="&amp;G8,弧盘强化总表!$G:$G)-SUMIF(弧盘强化总表!$A:$A,"&lt;="&amp;F8,弧盘强化总表!$G:$G))</f>
        <v/>
      </c>
      <c r="AG8" s="9">
        <f>IF(OR(E8="",F8="",G8=""),"",SUMIF(弧盘强化总表!$A:$A,"&lt;="&amp;G8,弧盘强化总表!$H:$H)-SUMIF(弧盘强化总表!$A:$A,"&lt;="&amp;F8,弧盘强化总表!$H:$H))</f>
        <v/>
      </c>
      <c r="AH8" s="9">
        <f>IF(OR(E8="",F8="",G8=""),"",SUMIF(弧盘强化总表!$A:$A,"&lt;="&amp;G8,弧盘强化总表!$I:$I)-SUMIF(弧盘强化总表!$A:$A,"&lt;="&amp;F8,弧盘强化总表!$I:$I))</f>
        <v/>
      </c>
      <c r="AI8" s="9">
        <f>IF(OR(E8="",F8="",G8=""),"",SUMIF(弧盘强化总表!$A:$A,"&lt;="&amp;G8,弧盘强化总表!$J:$J)-SUMIF(弧盘强化总表!$A:$A,"&lt;="&amp;F8,弧盘强化总表!$J:$J))</f>
        <v/>
      </c>
      <c r="AJ8" s="9">
        <f>IF(OR(E8="",F8="",G8=""),"",SUMIF(弧盘强化总表!$A:$A,"&lt;="&amp;G8,弧盘强化总表!$K:$K)-SUMIF(弧盘强化总表!$A:$A,"&lt;="&amp;F8,弧盘强化总表!$K:$K))</f>
        <v/>
      </c>
      <c r="AK8" s="10">
        <f>IF(B8="","",T8+AJ8)</f>
        <v/>
      </c>
      <c r="AL8" s="10">
        <f>IF(B8="","",AG8*500+AH8*2500+AI8*10000)</f>
        <v/>
      </c>
      <c r="AM8" s="10">
        <f>IF(B8="","",L8+AB8)</f>
        <v/>
      </c>
      <c r="AN8" s="10">
        <f>IF(B8="","",N8+AD8)</f>
        <v/>
      </c>
      <c r="AO8" s="10">
        <f>IF(B8="","",P8+AF8)</f>
        <v/>
      </c>
    </row>
    <row r="9" ht="22" customHeight="1">
      <c r="A9" t="n">
        <v>5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8">
        <f>IF(B9="","",IFERROR(VLOOKUP(B9,全角色突破材料对照!$A:$E,2,FALSE),"未找到"))</f>
        <v/>
      </c>
      <c r="J9" s="9">
        <f>IF(OR(B9="",C9="",D9=""),"",SUMIF(角色等级突破材料总表!$A:$A,"&lt;="&amp;D9,角色等级突破材料总表!$E:$E)-SUMIF(角色等级突破材料总表!$A:$A,"&lt;="&amp;C9,角色等级突破材料总表!$E:$E))</f>
        <v/>
      </c>
      <c r="K9" s="8">
        <f>IF(B9="","",IFERROR(VLOOKUP(B9,全角色突破材料对照!$A:$E,3,FALSE),""))</f>
        <v/>
      </c>
      <c r="L9" s="9">
        <f>IF(OR(B9="",C9="",D9=""),"",SUMIF(角色等级突破材料总表!$A:$A,"&lt;="&amp;D9,角色等级突破材料总表!$B:$B)-SUMIF(角色等级突破材料总表!$A:$A,"&lt;="&amp;C9,角色等级突破材料总表!$B:$B))</f>
        <v/>
      </c>
      <c r="M9" s="8">
        <f>IF(B9="","",IFERROR(VLOOKUP(B9,全角色突破材料对照!$A:$E,4,FALSE),""))</f>
        <v/>
      </c>
      <c r="N9" s="9">
        <f>IF(OR(B9="",C9="",D9=""),"",SUMIF(角色等级突破材料总表!$A:$A,"&lt;="&amp;D9,角色等级突破材料总表!$C:$C)-SUMIF(角色等级突破材料总表!$A:$A,"&lt;="&amp;C9,角色等级突破材料总表!$C:$C))</f>
        <v/>
      </c>
      <c r="O9" s="8">
        <f>IF(B9="","",IFERROR(VLOOKUP(B9,全角色突破材料对照!$A:$E,5,FALSE),""))</f>
        <v/>
      </c>
      <c r="P9" s="9">
        <f>IF(OR(B9="",C9="",D9=""),"",SUMIF(角色等级突破材料总表!$A:$A,"&lt;="&amp;D9,角色等级突破材料总表!$D:$D)-SUMIF(角色等级突破材料总表!$A:$A,"&lt;="&amp;C9,角色等级突破材料总表!$D:$D))</f>
        <v/>
      </c>
      <c r="Q9" s="9">
        <f>IF(OR(B9="",C9="",D9=""),"",SUMIF(角色等级突破材料总表!$A:$A,"&lt;="&amp;D9,角色等级突破材料总表!$F:$F)-SUMIF(角色等级突破材料总表!$A:$A,"&lt;="&amp;C9,角色等级突破材料总表!$F:$F))</f>
        <v/>
      </c>
      <c r="R9" s="9">
        <f>IF(OR(B9="",C9="",D9=""),"",SUMIF(角色等级突破材料总表!$A:$A,"&lt;="&amp;D9,角色等级突破材料总表!$G:$G)-SUMIF(角色等级突破材料总表!$A:$A,"&lt;="&amp;C9,角色等级突破材料总表!$G:$G))</f>
        <v/>
      </c>
      <c r="S9" s="9">
        <f>IF(OR(B9="",C9="",D9=""),"",SUMIF(角色等级突破材料总表!$A:$A,"&lt;="&amp;D9,角色等级突破材料总表!$H:$H)-SUMIF(角色等级突破材料总表!$A:$A,"&lt;="&amp;C9,角色等级突破材料总表!$H:$H))</f>
        <v/>
      </c>
      <c r="T9" s="9">
        <f>IF(OR(B9="",C9="",D9=""),"",SUMIF(角色等级突破材料总表!$A:$A,"&lt;="&amp;D9,角色等级突破材料总表!$I:$I)-SUMIF(角色等级突破材料总表!$A:$A,"&lt;="&amp;C9,角色等级突破材料总表!$I:$I))</f>
        <v/>
      </c>
      <c r="U9" s="8">
        <f>IF(E9="","",IFERROR(VLOOKUP(E9,全弧盘突破材料对照!$A:$H,6,FALSE),"未找到"))</f>
        <v/>
      </c>
      <c r="V9" s="9">
        <f>IF(OR(E9="",F9="",G9=""),"",SUMIF(弧盘强化总表!$A:$A,"&lt;="&amp;G9,弧盘强化总表!$B:$B)-SUMIF(弧盘强化总表!$A:$A,"&lt;="&amp;F9,弧盘强化总表!$B:$B))</f>
        <v/>
      </c>
      <c r="W9" s="8">
        <f>IF(E9="","",IFERROR(VLOOKUP(E9,全弧盘突破材料对照!$A:$H,7,FALSE),""))</f>
        <v/>
      </c>
      <c r="X9" s="9">
        <f>IF(OR(E9="",F9="",G9=""),"",SUMIF(弧盘强化总表!$A:$A,"&lt;="&amp;G9,弧盘强化总表!$C:$C)-SUMIF(弧盘强化总表!$A:$A,"&lt;="&amp;F9,弧盘强化总表!$C:$C))</f>
        <v/>
      </c>
      <c r="Y9" s="8">
        <f>IF(E9="","",IFERROR(VLOOKUP(E9,全弧盘突破材料对照!$A:$H,8,FALSE),""))</f>
        <v/>
      </c>
      <c r="Z9" s="9">
        <f>IF(OR(E9="",F9="",G9=""),"",SUMIF(弧盘强化总表!$A:$A,"&lt;="&amp;G9,弧盘强化总表!$D:$D)-SUMIF(弧盘强化总表!$A:$A,"&lt;="&amp;F9,弧盘强化总表!$D:$D))</f>
        <v/>
      </c>
      <c r="AA9" s="8">
        <f>IF(E9="","",IFERROR(VLOOKUP(E9,全弧盘突破材料对照!$A:$H,3,FALSE),""))</f>
        <v/>
      </c>
      <c r="AB9" s="9">
        <f>IF(OR(E9="",F9="",G9=""),"",SUMIF(弧盘强化总表!$A:$A,"&lt;="&amp;G9,弧盘强化总表!$E:$E)-SUMIF(弧盘强化总表!$A:$A,"&lt;="&amp;F9,弧盘强化总表!$E:$E))</f>
        <v/>
      </c>
      <c r="AC9" s="8">
        <f>IF(E9="","",IFERROR(VLOOKUP(E9,全弧盘突破材料对照!$A:$H,4,FALSE),""))</f>
        <v/>
      </c>
      <c r="AD9" s="9">
        <f>IF(OR(E9="",F9="",G9=""),"",SUMIF(弧盘强化总表!$A:$A,"&lt;="&amp;G9,弧盘强化总表!$F:$F)-SUMIF(弧盘强化总表!$A:$A,"&lt;="&amp;F9,弧盘强化总表!$F:$F))</f>
        <v/>
      </c>
      <c r="AE9" s="8">
        <f>IF(E9="","",IFERROR(VLOOKUP(E9,全弧盘突破材料对照!$A:$H,5,FALSE),""))</f>
        <v/>
      </c>
      <c r="AF9" s="9">
        <f>IF(OR(E9="",F9="",G9=""),"",SUMIF(弧盘强化总表!$A:$A,"&lt;="&amp;G9,弧盘强化总表!$G:$G)-SUMIF(弧盘强化总表!$A:$A,"&lt;="&amp;F9,弧盘强化总表!$G:$G))</f>
        <v/>
      </c>
      <c r="AG9" s="9">
        <f>IF(OR(E9="",F9="",G9=""),"",SUMIF(弧盘强化总表!$A:$A,"&lt;="&amp;G9,弧盘强化总表!$H:$H)-SUMIF(弧盘强化总表!$A:$A,"&lt;="&amp;F9,弧盘强化总表!$H:$H))</f>
        <v/>
      </c>
      <c r="AH9" s="9">
        <f>IF(OR(E9="",F9="",G9=""),"",SUMIF(弧盘强化总表!$A:$A,"&lt;="&amp;G9,弧盘强化总表!$I:$I)-SUMIF(弧盘强化总表!$A:$A,"&lt;="&amp;F9,弧盘强化总表!$I:$I))</f>
        <v/>
      </c>
      <c r="AI9" s="9">
        <f>IF(OR(E9="",F9="",G9=""),"",SUMIF(弧盘强化总表!$A:$A,"&lt;="&amp;G9,弧盘强化总表!$J:$J)-SUMIF(弧盘强化总表!$A:$A,"&lt;="&amp;F9,弧盘强化总表!$J:$J))</f>
        <v/>
      </c>
      <c r="AJ9" s="9">
        <f>IF(OR(E9="",F9="",G9=""),"",SUMIF(弧盘强化总表!$A:$A,"&lt;="&amp;G9,弧盘强化总表!$K:$K)-SUMIF(弧盘强化总表!$A:$A,"&lt;="&amp;F9,弧盘强化总表!$K:$K))</f>
        <v/>
      </c>
      <c r="AK9" s="10">
        <f>IF(B9="","",T9+AJ9)</f>
        <v/>
      </c>
      <c r="AL9" s="10">
        <f>IF(B9="","",AG9*500+AH9*2500+AI9*10000)</f>
        <v/>
      </c>
      <c r="AM9" s="10">
        <f>IF(B9="","",L9+AB9)</f>
        <v/>
      </c>
      <c r="AN9" s="10">
        <f>IF(B9="","",N9+AD9)</f>
        <v/>
      </c>
      <c r="AO9" s="10">
        <f>IF(B9="","",P9+AF9)</f>
        <v/>
      </c>
    </row>
    <row r="10" ht="22" customHeight="1">
      <c r="A10" t="n">
        <v>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8">
        <f>IF(B10="","",IFERROR(VLOOKUP(B10,全角色突破材料对照!$A:$E,2,FALSE),"未找到"))</f>
        <v/>
      </c>
      <c r="J10" s="9">
        <f>IF(OR(B10="",C10="",D10=""),"",SUMIF(角色等级突破材料总表!$A:$A,"&lt;="&amp;D10,角色等级突破材料总表!$E:$E)-SUMIF(角色等级突破材料总表!$A:$A,"&lt;="&amp;C10,角色等级突破材料总表!$E:$E))</f>
        <v/>
      </c>
      <c r="K10" s="8">
        <f>IF(B10="","",IFERROR(VLOOKUP(B10,全角色突破材料对照!$A:$E,3,FALSE),""))</f>
        <v/>
      </c>
      <c r="L10" s="9">
        <f>IF(OR(B10="",C10="",D10=""),"",SUMIF(角色等级突破材料总表!$A:$A,"&lt;="&amp;D10,角色等级突破材料总表!$B:$B)-SUMIF(角色等级突破材料总表!$A:$A,"&lt;="&amp;C10,角色等级突破材料总表!$B:$B))</f>
        <v/>
      </c>
      <c r="M10" s="8">
        <f>IF(B10="","",IFERROR(VLOOKUP(B10,全角色突破材料对照!$A:$E,4,FALSE),""))</f>
        <v/>
      </c>
      <c r="N10" s="9">
        <f>IF(OR(B10="",C10="",D10=""),"",SUMIF(角色等级突破材料总表!$A:$A,"&lt;="&amp;D10,角色等级突破材料总表!$C:$C)-SUMIF(角色等级突破材料总表!$A:$A,"&lt;="&amp;C10,角色等级突破材料总表!$C:$C))</f>
        <v/>
      </c>
      <c r="O10" s="8">
        <f>IF(B10="","",IFERROR(VLOOKUP(B10,全角色突破材料对照!$A:$E,5,FALSE),""))</f>
        <v/>
      </c>
      <c r="P10" s="9">
        <f>IF(OR(B10="",C10="",D10=""),"",SUMIF(角色等级突破材料总表!$A:$A,"&lt;="&amp;D10,角色等级突破材料总表!$D:$D)-SUMIF(角色等级突破材料总表!$A:$A,"&lt;="&amp;C10,角色等级突破材料总表!$D:$D))</f>
        <v/>
      </c>
      <c r="Q10" s="9">
        <f>IF(OR(B10="",C10="",D10=""),"",SUMIF(角色等级突破材料总表!$A:$A,"&lt;="&amp;D10,角色等级突破材料总表!$F:$F)-SUMIF(角色等级突破材料总表!$A:$A,"&lt;="&amp;C10,角色等级突破材料总表!$F:$F))</f>
        <v/>
      </c>
      <c r="R10" s="9">
        <f>IF(OR(B10="",C10="",D10=""),"",SUMIF(角色等级突破材料总表!$A:$A,"&lt;="&amp;D10,角色等级突破材料总表!$G:$G)-SUMIF(角色等级突破材料总表!$A:$A,"&lt;="&amp;C10,角色等级突破材料总表!$G:$G))</f>
        <v/>
      </c>
      <c r="S10" s="9">
        <f>IF(OR(B10="",C10="",D10=""),"",SUMIF(角色等级突破材料总表!$A:$A,"&lt;="&amp;D10,角色等级突破材料总表!$H:$H)-SUMIF(角色等级突破材料总表!$A:$A,"&lt;="&amp;C10,角色等级突破材料总表!$H:$H))</f>
        <v/>
      </c>
      <c r="T10" s="9">
        <f>IF(OR(B10="",C10="",D10=""),"",SUMIF(角色等级突破材料总表!$A:$A,"&lt;="&amp;D10,角色等级突破材料总表!$I:$I)-SUMIF(角色等级突破材料总表!$A:$A,"&lt;="&amp;C10,角色等级突破材料总表!$I:$I))</f>
        <v/>
      </c>
      <c r="U10" s="8">
        <f>IF(E10="","",IFERROR(VLOOKUP(E10,全弧盘突破材料对照!$A:$H,6,FALSE),"未找到"))</f>
        <v/>
      </c>
      <c r="V10" s="9">
        <f>IF(OR(E10="",F10="",G10=""),"",SUMIF(弧盘强化总表!$A:$A,"&lt;="&amp;G10,弧盘强化总表!$B:$B)-SUMIF(弧盘强化总表!$A:$A,"&lt;="&amp;F10,弧盘强化总表!$B:$B))</f>
        <v/>
      </c>
      <c r="W10" s="8">
        <f>IF(E10="","",IFERROR(VLOOKUP(E10,全弧盘突破材料对照!$A:$H,7,FALSE),""))</f>
        <v/>
      </c>
      <c r="X10" s="9">
        <f>IF(OR(E10="",F10="",G10=""),"",SUMIF(弧盘强化总表!$A:$A,"&lt;="&amp;G10,弧盘强化总表!$C:$C)-SUMIF(弧盘强化总表!$A:$A,"&lt;="&amp;F10,弧盘强化总表!$C:$C))</f>
        <v/>
      </c>
      <c r="Y10" s="8">
        <f>IF(E10="","",IFERROR(VLOOKUP(E10,全弧盘突破材料对照!$A:$H,8,FALSE),""))</f>
        <v/>
      </c>
      <c r="Z10" s="9">
        <f>IF(OR(E10="",F10="",G10=""),"",SUMIF(弧盘强化总表!$A:$A,"&lt;="&amp;G10,弧盘强化总表!$D:$D)-SUMIF(弧盘强化总表!$A:$A,"&lt;="&amp;F10,弧盘强化总表!$D:$D))</f>
        <v/>
      </c>
      <c r="AA10" s="8">
        <f>IF(E10="","",IFERROR(VLOOKUP(E10,全弧盘突破材料对照!$A:$H,3,FALSE),""))</f>
        <v/>
      </c>
      <c r="AB10" s="9">
        <f>IF(OR(E10="",F10="",G10=""),"",SUMIF(弧盘强化总表!$A:$A,"&lt;="&amp;G10,弧盘强化总表!$E:$E)-SUMIF(弧盘强化总表!$A:$A,"&lt;="&amp;F10,弧盘强化总表!$E:$E))</f>
        <v/>
      </c>
      <c r="AC10" s="8">
        <f>IF(E10="","",IFERROR(VLOOKUP(E10,全弧盘突破材料对照!$A:$H,4,FALSE),""))</f>
        <v/>
      </c>
      <c r="AD10" s="9">
        <f>IF(OR(E10="",F10="",G10=""),"",SUMIF(弧盘强化总表!$A:$A,"&lt;="&amp;G10,弧盘强化总表!$F:$F)-SUMIF(弧盘强化总表!$A:$A,"&lt;="&amp;F10,弧盘强化总表!$F:$F))</f>
        <v/>
      </c>
      <c r="AE10" s="8">
        <f>IF(E10="","",IFERROR(VLOOKUP(E10,全弧盘突破材料对照!$A:$H,5,FALSE),""))</f>
        <v/>
      </c>
      <c r="AF10" s="9">
        <f>IF(OR(E10="",F10="",G10=""),"",SUMIF(弧盘强化总表!$A:$A,"&lt;="&amp;G10,弧盘强化总表!$G:$G)-SUMIF(弧盘强化总表!$A:$A,"&lt;="&amp;F10,弧盘强化总表!$G:$G))</f>
        <v/>
      </c>
      <c r="AG10" s="9">
        <f>IF(OR(E10="",F10="",G10=""),"",SUMIF(弧盘强化总表!$A:$A,"&lt;="&amp;G10,弧盘强化总表!$H:$H)-SUMIF(弧盘强化总表!$A:$A,"&lt;="&amp;F10,弧盘强化总表!$H:$H))</f>
        <v/>
      </c>
      <c r="AH10" s="9">
        <f>IF(OR(E10="",F10="",G10=""),"",SUMIF(弧盘强化总表!$A:$A,"&lt;="&amp;G10,弧盘强化总表!$I:$I)-SUMIF(弧盘强化总表!$A:$A,"&lt;="&amp;F10,弧盘强化总表!$I:$I))</f>
        <v/>
      </c>
      <c r="AI10" s="9">
        <f>IF(OR(E10="",F10="",G10=""),"",SUMIF(弧盘强化总表!$A:$A,"&lt;="&amp;G10,弧盘强化总表!$J:$J)-SUMIF(弧盘强化总表!$A:$A,"&lt;="&amp;F10,弧盘强化总表!$J:$J))</f>
        <v/>
      </c>
      <c r="AJ10" s="9">
        <f>IF(OR(E10="",F10="",G10=""),"",SUMIF(弧盘强化总表!$A:$A,"&lt;="&amp;G10,弧盘强化总表!$K:$K)-SUMIF(弧盘强化总表!$A:$A,"&lt;="&amp;F10,弧盘强化总表!$K:$K))</f>
        <v/>
      </c>
      <c r="AK10" s="10">
        <f>IF(B10="","",T10+AJ10)</f>
        <v/>
      </c>
      <c r="AL10" s="10">
        <f>IF(B10="","",AG10*500+AH10*2500+AI10*10000)</f>
        <v/>
      </c>
      <c r="AM10" s="10">
        <f>IF(B10="","",L10+AB10)</f>
        <v/>
      </c>
      <c r="AN10" s="10">
        <f>IF(B10="","",N10+AD10)</f>
        <v/>
      </c>
      <c r="AO10" s="10">
        <f>IF(B10="","",P10+AF10)</f>
        <v/>
      </c>
    </row>
    <row r="11" ht="22" customHeight="1">
      <c r="A11" t="n">
        <v>7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8">
        <f>IF(B11="","",IFERROR(VLOOKUP(B11,全角色突破材料对照!$A:$E,2,FALSE),"未找到"))</f>
        <v/>
      </c>
      <c r="J11" s="9">
        <f>IF(OR(B11="",C11="",D11=""),"",SUMIF(角色等级突破材料总表!$A:$A,"&lt;="&amp;D11,角色等级突破材料总表!$E:$E)-SUMIF(角色等级突破材料总表!$A:$A,"&lt;="&amp;C11,角色等级突破材料总表!$E:$E))</f>
        <v/>
      </c>
      <c r="K11" s="8">
        <f>IF(B11="","",IFERROR(VLOOKUP(B11,全角色突破材料对照!$A:$E,3,FALSE),""))</f>
        <v/>
      </c>
      <c r="L11" s="9">
        <f>IF(OR(B11="",C11="",D11=""),"",SUMIF(角色等级突破材料总表!$A:$A,"&lt;="&amp;D11,角色等级突破材料总表!$B:$B)-SUMIF(角色等级突破材料总表!$A:$A,"&lt;="&amp;C11,角色等级突破材料总表!$B:$B))</f>
        <v/>
      </c>
      <c r="M11" s="8">
        <f>IF(B11="","",IFERROR(VLOOKUP(B11,全角色突破材料对照!$A:$E,4,FALSE),""))</f>
        <v/>
      </c>
      <c r="N11" s="9">
        <f>IF(OR(B11="",C11="",D11=""),"",SUMIF(角色等级突破材料总表!$A:$A,"&lt;="&amp;D11,角色等级突破材料总表!$C:$C)-SUMIF(角色等级突破材料总表!$A:$A,"&lt;="&amp;C11,角色等级突破材料总表!$C:$C))</f>
        <v/>
      </c>
      <c r="O11" s="8">
        <f>IF(B11="","",IFERROR(VLOOKUP(B11,全角色突破材料对照!$A:$E,5,FALSE),""))</f>
        <v/>
      </c>
      <c r="P11" s="9">
        <f>IF(OR(B11="",C11="",D11=""),"",SUMIF(角色等级突破材料总表!$A:$A,"&lt;="&amp;D11,角色等级突破材料总表!$D:$D)-SUMIF(角色等级突破材料总表!$A:$A,"&lt;="&amp;C11,角色等级突破材料总表!$D:$D))</f>
        <v/>
      </c>
      <c r="Q11" s="9">
        <f>IF(OR(B11="",C11="",D11=""),"",SUMIF(角色等级突破材料总表!$A:$A,"&lt;="&amp;D11,角色等级突破材料总表!$F:$F)-SUMIF(角色等级突破材料总表!$A:$A,"&lt;="&amp;C11,角色等级突破材料总表!$F:$F))</f>
        <v/>
      </c>
      <c r="R11" s="9">
        <f>IF(OR(B11="",C11="",D11=""),"",SUMIF(角色等级突破材料总表!$A:$A,"&lt;="&amp;D11,角色等级突破材料总表!$G:$G)-SUMIF(角色等级突破材料总表!$A:$A,"&lt;="&amp;C11,角色等级突破材料总表!$G:$G))</f>
        <v/>
      </c>
      <c r="S11" s="9">
        <f>IF(OR(B11="",C11="",D11=""),"",SUMIF(角色等级突破材料总表!$A:$A,"&lt;="&amp;D11,角色等级突破材料总表!$H:$H)-SUMIF(角色等级突破材料总表!$A:$A,"&lt;="&amp;C11,角色等级突破材料总表!$H:$H))</f>
        <v/>
      </c>
      <c r="T11" s="9">
        <f>IF(OR(B11="",C11="",D11=""),"",SUMIF(角色等级突破材料总表!$A:$A,"&lt;="&amp;D11,角色等级突破材料总表!$I:$I)-SUMIF(角色等级突破材料总表!$A:$A,"&lt;="&amp;C11,角色等级突破材料总表!$I:$I))</f>
        <v/>
      </c>
      <c r="U11" s="8">
        <f>IF(E11="","",IFERROR(VLOOKUP(E11,全弧盘突破材料对照!$A:$H,6,FALSE),"未找到"))</f>
        <v/>
      </c>
      <c r="V11" s="9">
        <f>IF(OR(E11="",F11="",G11=""),"",SUMIF(弧盘强化总表!$A:$A,"&lt;="&amp;G11,弧盘强化总表!$B:$B)-SUMIF(弧盘强化总表!$A:$A,"&lt;="&amp;F11,弧盘强化总表!$B:$B))</f>
        <v/>
      </c>
      <c r="W11" s="8">
        <f>IF(E11="","",IFERROR(VLOOKUP(E11,全弧盘突破材料对照!$A:$H,7,FALSE),""))</f>
        <v/>
      </c>
      <c r="X11" s="9">
        <f>IF(OR(E11="",F11="",G11=""),"",SUMIF(弧盘强化总表!$A:$A,"&lt;="&amp;G11,弧盘强化总表!$C:$C)-SUMIF(弧盘强化总表!$A:$A,"&lt;="&amp;F11,弧盘强化总表!$C:$C))</f>
        <v/>
      </c>
      <c r="Y11" s="8">
        <f>IF(E11="","",IFERROR(VLOOKUP(E11,全弧盘突破材料对照!$A:$H,8,FALSE),""))</f>
        <v/>
      </c>
      <c r="Z11" s="9">
        <f>IF(OR(E11="",F11="",G11=""),"",SUMIF(弧盘强化总表!$A:$A,"&lt;="&amp;G11,弧盘强化总表!$D:$D)-SUMIF(弧盘强化总表!$A:$A,"&lt;="&amp;F11,弧盘强化总表!$D:$D))</f>
        <v/>
      </c>
      <c r="AA11" s="8">
        <f>IF(E11="","",IFERROR(VLOOKUP(E11,全弧盘突破材料对照!$A:$H,3,FALSE),""))</f>
        <v/>
      </c>
      <c r="AB11" s="9">
        <f>IF(OR(E11="",F11="",G11=""),"",SUMIF(弧盘强化总表!$A:$A,"&lt;="&amp;G11,弧盘强化总表!$E:$E)-SUMIF(弧盘强化总表!$A:$A,"&lt;="&amp;F11,弧盘强化总表!$E:$E))</f>
        <v/>
      </c>
      <c r="AC11" s="8">
        <f>IF(E11="","",IFERROR(VLOOKUP(E11,全弧盘突破材料对照!$A:$H,4,FALSE),""))</f>
        <v/>
      </c>
      <c r="AD11" s="9">
        <f>IF(OR(E11="",F11="",G11=""),"",SUMIF(弧盘强化总表!$A:$A,"&lt;="&amp;G11,弧盘强化总表!$F:$F)-SUMIF(弧盘强化总表!$A:$A,"&lt;="&amp;F11,弧盘强化总表!$F:$F))</f>
        <v/>
      </c>
      <c r="AE11" s="8">
        <f>IF(E11="","",IFERROR(VLOOKUP(E11,全弧盘突破材料对照!$A:$H,5,FALSE),""))</f>
        <v/>
      </c>
      <c r="AF11" s="9">
        <f>IF(OR(E11="",F11="",G11=""),"",SUMIF(弧盘强化总表!$A:$A,"&lt;="&amp;G11,弧盘强化总表!$G:$G)-SUMIF(弧盘强化总表!$A:$A,"&lt;="&amp;F11,弧盘强化总表!$G:$G))</f>
        <v/>
      </c>
      <c r="AG11" s="9">
        <f>IF(OR(E11="",F11="",G11=""),"",SUMIF(弧盘强化总表!$A:$A,"&lt;="&amp;G11,弧盘强化总表!$H:$H)-SUMIF(弧盘强化总表!$A:$A,"&lt;="&amp;F11,弧盘强化总表!$H:$H))</f>
        <v/>
      </c>
      <c r="AH11" s="9">
        <f>IF(OR(E11="",F11="",G11=""),"",SUMIF(弧盘强化总表!$A:$A,"&lt;="&amp;G11,弧盘强化总表!$I:$I)-SUMIF(弧盘强化总表!$A:$A,"&lt;="&amp;F11,弧盘强化总表!$I:$I))</f>
        <v/>
      </c>
      <c r="AI11" s="9">
        <f>IF(OR(E11="",F11="",G11=""),"",SUMIF(弧盘强化总表!$A:$A,"&lt;="&amp;G11,弧盘强化总表!$J:$J)-SUMIF(弧盘强化总表!$A:$A,"&lt;="&amp;F11,弧盘强化总表!$J:$J))</f>
        <v/>
      </c>
      <c r="AJ11" s="9">
        <f>IF(OR(E11="",F11="",G11=""),"",SUMIF(弧盘强化总表!$A:$A,"&lt;="&amp;G11,弧盘强化总表!$K:$K)-SUMIF(弧盘强化总表!$A:$A,"&lt;="&amp;F11,弧盘强化总表!$K:$K))</f>
        <v/>
      </c>
      <c r="AK11" s="10">
        <f>IF(B11="","",T11+AJ11)</f>
        <v/>
      </c>
      <c r="AL11" s="10">
        <f>IF(B11="","",AG11*500+AH11*2500+AI11*10000)</f>
        <v/>
      </c>
      <c r="AM11" s="10">
        <f>IF(B11="","",L11+AB11)</f>
        <v/>
      </c>
      <c r="AN11" s="10">
        <f>IF(B11="","",N11+AD11)</f>
        <v/>
      </c>
      <c r="AO11" s="10">
        <f>IF(B11="","",P11+AF11)</f>
        <v/>
      </c>
    </row>
    <row r="12" ht="22" customHeight="1">
      <c r="A12" t="n">
        <v>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8">
        <f>IF(B12="","",IFERROR(VLOOKUP(B12,全角色突破材料对照!$A:$E,2,FALSE),"未找到"))</f>
        <v/>
      </c>
      <c r="J12" s="9">
        <f>IF(OR(B12="",C12="",D12=""),"",SUMIF(角色等级突破材料总表!$A:$A,"&lt;="&amp;D12,角色等级突破材料总表!$E:$E)-SUMIF(角色等级突破材料总表!$A:$A,"&lt;="&amp;C12,角色等级突破材料总表!$E:$E))</f>
        <v/>
      </c>
      <c r="K12" s="8">
        <f>IF(B12="","",IFERROR(VLOOKUP(B12,全角色突破材料对照!$A:$E,3,FALSE),""))</f>
        <v/>
      </c>
      <c r="L12" s="9">
        <f>IF(OR(B12="",C12="",D12=""),"",SUMIF(角色等级突破材料总表!$A:$A,"&lt;="&amp;D12,角色等级突破材料总表!$B:$B)-SUMIF(角色等级突破材料总表!$A:$A,"&lt;="&amp;C12,角色等级突破材料总表!$B:$B))</f>
        <v/>
      </c>
      <c r="M12" s="8">
        <f>IF(B12="","",IFERROR(VLOOKUP(B12,全角色突破材料对照!$A:$E,4,FALSE),""))</f>
        <v/>
      </c>
      <c r="N12" s="9">
        <f>IF(OR(B12="",C12="",D12=""),"",SUMIF(角色等级突破材料总表!$A:$A,"&lt;="&amp;D12,角色等级突破材料总表!$C:$C)-SUMIF(角色等级突破材料总表!$A:$A,"&lt;="&amp;C12,角色等级突破材料总表!$C:$C))</f>
        <v/>
      </c>
      <c r="O12" s="8">
        <f>IF(B12="","",IFERROR(VLOOKUP(B12,全角色突破材料对照!$A:$E,5,FALSE),""))</f>
        <v/>
      </c>
      <c r="P12" s="9">
        <f>IF(OR(B12="",C12="",D12=""),"",SUMIF(角色等级突破材料总表!$A:$A,"&lt;="&amp;D12,角色等级突破材料总表!$D:$D)-SUMIF(角色等级突破材料总表!$A:$A,"&lt;="&amp;C12,角色等级突破材料总表!$D:$D))</f>
        <v/>
      </c>
      <c r="Q12" s="9">
        <f>IF(OR(B12="",C12="",D12=""),"",SUMIF(角色等级突破材料总表!$A:$A,"&lt;="&amp;D12,角色等级突破材料总表!$F:$F)-SUMIF(角色等级突破材料总表!$A:$A,"&lt;="&amp;C12,角色等级突破材料总表!$F:$F))</f>
        <v/>
      </c>
      <c r="R12" s="9">
        <f>IF(OR(B12="",C12="",D12=""),"",SUMIF(角色等级突破材料总表!$A:$A,"&lt;="&amp;D12,角色等级突破材料总表!$G:$G)-SUMIF(角色等级突破材料总表!$A:$A,"&lt;="&amp;C12,角色等级突破材料总表!$G:$G))</f>
        <v/>
      </c>
      <c r="S12" s="9">
        <f>IF(OR(B12="",C12="",D12=""),"",SUMIF(角色等级突破材料总表!$A:$A,"&lt;="&amp;D12,角色等级突破材料总表!$H:$H)-SUMIF(角色等级突破材料总表!$A:$A,"&lt;="&amp;C12,角色等级突破材料总表!$H:$H))</f>
        <v/>
      </c>
      <c r="T12" s="9">
        <f>IF(OR(B12="",C12="",D12=""),"",SUMIF(角色等级突破材料总表!$A:$A,"&lt;="&amp;D12,角色等级突破材料总表!$I:$I)-SUMIF(角色等级突破材料总表!$A:$A,"&lt;="&amp;C12,角色等级突破材料总表!$I:$I))</f>
        <v/>
      </c>
      <c r="U12" s="8">
        <f>IF(E12="","",IFERROR(VLOOKUP(E12,全弧盘突破材料对照!$A:$H,6,FALSE),"未找到"))</f>
        <v/>
      </c>
      <c r="V12" s="9">
        <f>IF(OR(E12="",F12="",G12=""),"",SUMIF(弧盘强化总表!$A:$A,"&lt;="&amp;G12,弧盘强化总表!$B:$B)-SUMIF(弧盘强化总表!$A:$A,"&lt;="&amp;F12,弧盘强化总表!$B:$B))</f>
        <v/>
      </c>
      <c r="W12" s="8">
        <f>IF(E12="","",IFERROR(VLOOKUP(E12,全弧盘突破材料对照!$A:$H,7,FALSE),""))</f>
        <v/>
      </c>
      <c r="X12" s="9">
        <f>IF(OR(E12="",F12="",G12=""),"",SUMIF(弧盘强化总表!$A:$A,"&lt;="&amp;G12,弧盘强化总表!$C:$C)-SUMIF(弧盘强化总表!$A:$A,"&lt;="&amp;F12,弧盘强化总表!$C:$C))</f>
        <v/>
      </c>
      <c r="Y12" s="8">
        <f>IF(E12="","",IFERROR(VLOOKUP(E12,全弧盘突破材料对照!$A:$H,8,FALSE),""))</f>
        <v/>
      </c>
      <c r="Z12" s="9">
        <f>IF(OR(E12="",F12="",G12=""),"",SUMIF(弧盘强化总表!$A:$A,"&lt;="&amp;G12,弧盘强化总表!$D:$D)-SUMIF(弧盘强化总表!$A:$A,"&lt;="&amp;F12,弧盘强化总表!$D:$D))</f>
        <v/>
      </c>
      <c r="AA12" s="8">
        <f>IF(E12="","",IFERROR(VLOOKUP(E12,全弧盘突破材料对照!$A:$H,3,FALSE),""))</f>
        <v/>
      </c>
      <c r="AB12" s="9">
        <f>IF(OR(E12="",F12="",G12=""),"",SUMIF(弧盘强化总表!$A:$A,"&lt;="&amp;G12,弧盘强化总表!$E:$E)-SUMIF(弧盘强化总表!$A:$A,"&lt;="&amp;F12,弧盘强化总表!$E:$E))</f>
        <v/>
      </c>
      <c r="AC12" s="8">
        <f>IF(E12="","",IFERROR(VLOOKUP(E12,全弧盘突破材料对照!$A:$H,4,FALSE),""))</f>
        <v/>
      </c>
      <c r="AD12" s="9">
        <f>IF(OR(E12="",F12="",G12=""),"",SUMIF(弧盘强化总表!$A:$A,"&lt;="&amp;G12,弧盘强化总表!$F:$F)-SUMIF(弧盘强化总表!$A:$A,"&lt;="&amp;F12,弧盘强化总表!$F:$F))</f>
        <v/>
      </c>
      <c r="AE12" s="8">
        <f>IF(E12="","",IFERROR(VLOOKUP(E12,全弧盘突破材料对照!$A:$H,5,FALSE),""))</f>
        <v/>
      </c>
      <c r="AF12" s="9">
        <f>IF(OR(E12="",F12="",G12=""),"",SUMIF(弧盘强化总表!$A:$A,"&lt;="&amp;G12,弧盘强化总表!$G:$G)-SUMIF(弧盘强化总表!$A:$A,"&lt;="&amp;F12,弧盘强化总表!$G:$G))</f>
        <v/>
      </c>
      <c r="AG12" s="9">
        <f>IF(OR(E12="",F12="",G12=""),"",SUMIF(弧盘强化总表!$A:$A,"&lt;="&amp;G12,弧盘强化总表!$H:$H)-SUMIF(弧盘强化总表!$A:$A,"&lt;="&amp;F12,弧盘强化总表!$H:$H))</f>
        <v/>
      </c>
      <c r="AH12" s="9">
        <f>IF(OR(E12="",F12="",G12=""),"",SUMIF(弧盘强化总表!$A:$A,"&lt;="&amp;G12,弧盘强化总表!$I:$I)-SUMIF(弧盘强化总表!$A:$A,"&lt;="&amp;F12,弧盘强化总表!$I:$I))</f>
        <v/>
      </c>
      <c r="AI12" s="9">
        <f>IF(OR(E12="",F12="",G12=""),"",SUMIF(弧盘强化总表!$A:$A,"&lt;="&amp;G12,弧盘强化总表!$J:$J)-SUMIF(弧盘强化总表!$A:$A,"&lt;="&amp;F12,弧盘强化总表!$J:$J))</f>
        <v/>
      </c>
      <c r="AJ12" s="9">
        <f>IF(OR(E12="",F12="",G12=""),"",SUMIF(弧盘强化总表!$A:$A,"&lt;="&amp;G12,弧盘强化总表!$K:$K)-SUMIF(弧盘强化总表!$A:$A,"&lt;="&amp;F12,弧盘强化总表!$K:$K))</f>
        <v/>
      </c>
      <c r="AK12" s="10">
        <f>IF(B12="","",T12+AJ12)</f>
        <v/>
      </c>
      <c r="AL12" s="10">
        <f>IF(B12="","",AG12*500+AH12*2500+AI12*10000)</f>
        <v/>
      </c>
      <c r="AM12" s="10">
        <f>IF(B12="","",L12+AB12)</f>
        <v/>
      </c>
      <c r="AN12" s="10">
        <f>IF(B12="","",N12+AD12)</f>
        <v/>
      </c>
      <c r="AO12" s="10">
        <f>IF(B12="","",P12+AF12)</f>
        <v/>
      </c>
    </row>
    <row r="13" ht="22" customHeight="1">
      <c r="A13" t="n">
        <v>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8">
        <f>IF(B13="","",IFERROR(VLOOKUP(B13,全角色突破材料对照!$A:$E,2,FALSE),"未找到"))</f>
        <v/>
      </c>
      <c r="J13" s="9">
        <f>IF(OR(B13="",C13="",D13=""),"",SUMIF(角色等级突破材料总表!$A:$A,"&lt;="&amp;D13,角色等级突破材料总表!$E:$E)-SUMIF(角色等级突破材料总表!$A:$A,"&lt;="&amp;C13,角色等级突破材料总表!$E:$E))</f>
        <v/>
      </c>
      <c r="K13" s="8">
        <f>IF(B13="","",IFERROR(VLOOKUP(B13,全角色突破材料对照!$A:$E,3,FALSE),""))</f>
        <v/>
      </c>
      <c r="L13" s="9">
        <f>IF(OR(B13="",C13="",D13=""),"",SUMIF(角色等级突破材料总表!$A:$A,"&lt;="&amp;D13,角色等级突破材料总表!$B:$B)-SUMIF(角色等级突破材料总表!$A:$A,"&lt;="&amp;C13,角色等级突破材料总表!$B:$B))</f>
        <v/>
      </c>
      <c r="M13" s="8">
        <f>IF(B13="","",IFERROR(VLOOKUP(B13,全角色突破材料对照!$A:$E,4,FALSE),""))</f>
        <v/>
      </c>
      <c r="N13" s="9">
        <f>IF(OR(B13="",C13="",D13=""),"",SUMIF(角色等级突破材料总表!$A:$A,"&lt;="&amp;D13,角色等级突破材料总表!$C:$C)-SUMIF(角色等级突破材料总表!$A:$A,"&lt;="&amp;C13,角色等级突破材料总表!$C:$C))</f>
        <v/>
      </c>
      <c r="O13" s="8">
        <f>IF(B13="","",IFERROR(VLOOKUP(B13,全角色突破材料对照!$A:$E,5,FALSE),""))</f>
        <v/>
      </c>
      <c r="P13" s="9">
        <f>IF(OR(B13="",C13="",D13=""),"",SUMIF(角色等级突破材料总表!$A:$A,"&lt;="&amp;D13,角色等级突破材料总表!$D:$D)-SUMIF(角色等级突破材料总表!$A:$A,"&lt;="&amp;C13,角色等级突破材料总表!$D:$D))</f>
        <v/>
      </c>
      <c r="Q13" s="9">
        <f>IF(OR(B13="",C13="",D13=""),"",SUMIF(角色等级突破材料总表!$A:$A,"&lt;="&amp;D13,角色等级突破材料总表!$F:$F)-SUMIF(角色等级突破材料总表!$A:$A,"&lt;="&amp;C13,角色等级突破材料总表!$F:$F))</f>
        <v/>
      </c>
      <c r="R13" s="9">
        <f>IF(OR(B13="",C13="",D13=""),"",SUMIF(角色等级突破材料总表!$A:$A,"&lt;="&amp;D13,角色等级突破材料总表!$G:$G)-SUMIF(角色等级突破材料总表!$A:$A,"&lt;="&amp;C13,角色等级突破材料总表!$G:$G))</f>
        <v/>
      </c>
      <c r="S13" s="9">
        <f>IF(OR(B13="",C13="",D13=""),"",SUMIF(角色等级突破材料总表!$A:$A,"&lt;="&amp;D13,角色等级突破材料总表!$H:$H)-SUMIF(角色等级突破材料总表!$A:$A,"&lt;="&amp;C13,角色等级突破材料总表!$H:$H))</f>
        <v/>
      </c>
      <c r="T13" s="9">
        <f>IF(OR(B13="",C13="",D13=""),"",SUMIF(角色等级突破材料总表!$A:$A,"&lt;="&amp;D13,角色等级突破材料总表!$I:$I)-SUMIF(角色等级突破材料总表!$A:$A,"&lt;="&amp;C13,角色等级突破材料总表!$I:$I))</f>
        <v/>
      </c>
      <c r="U13" s="8">
        <f>IF(E13="","",IFERROR(VLOOKUP(E13,全弧盘突破材料对照!$A:$H,6,FALSE),"未找到"))</f>
        <v/>
      </c>
      <c r="V13" s="9">
        <f>IF(OR(E13="",F13="",G13=""),"",SUMIF(弧盘强化总表!$A:$A,"&lt;="&amp;G13,弧盘强化总表!$B:$B)-SUMIF(弧盘强化总表!$A:$A,"&lt;="&amp;F13,弧盘强化总表!$B:$B))</f>
        <v/>
      </c>
      <c r="W13" s="8">
        <f>IF(E13="","",IFERROR(VLOOKUP(E13,全弧盘突破材料对照!$A:$H,7,FALSE),""))</f>
        <v/>
      </c>
      <c r="X13" s="9">
        <f>IF(OR(E13="",F13="",G13=""),"",SUMIF(弧盘强化总表!$A:$A,"&lt;="&amp;G13,弧盘强化总表!$C:$C)-SUMIF(弧盘强化总表!$A:$A,"&lt;="&amp;F13,弧盘强化总表!$C:$C))</f>
        <v/>
      </c>
      <c r="Y13" s="8">
        <f>IF(E13="","",IFERROR(VLOOKUP(E13,全弧盘突破材料对照!$A:$H,8,FALSE),""))</f>
        <v/>
      </c>
      <c r="Z13" s="9">
        <f>IF(OR(E13="",F13="",G13=""),"",SUMIF(弧盘强化总表!$A:$A,"&lt;="&amp;G13,弧盘强化总表!$D:$D)-SUMIF(弧盘强化总表!$A:$A,"&lt;="&amp;F13,弧盘强化总表!$D:$D))</f>
        <v/>
      </c>
      <c r="AA13" s="8">
        <f>IF(E13="","",IFERROR(VLOOKUP(E13,全弧盘突破材料对照!$A:$H,3,FALSE),""))</f>
        <v/>
      </c>
      <c r="AB13" s="9">
        <f>IF(OR(E13="",F13="",G13=""),"",SUMIF(弧盘强化总表!$A:$A,"&lt;="&amp;G13,弧盘强化总表!$E:$E)-SUMIF(弧盘强化总表!$A:$A,"&lt;="&amp;F13,弧盘强化总表!$E:$E))</f>
        <v/>
      </c>
      <c r="AC13" s="8">
        <f>IF(E13="","",IFERROR(VLOOKUP(E13,全弧盘突破材料对照!$A:$H,4,FALSE),""))</f>
        <v/>
      </c>
      <c r="AD13" s="9">
        <f>IF(OR(E13="",F13="",G13=""),"",SUMIF(弧盘强化总表!$A:$A,"&lt;="&amp;G13,弧盘强化总表!$F:$F)-SUMIF(弧盘强化总表!$A:$A,"&lt;="&amp;F13,弧盘强化总表!$F:$F))</f>
        <v/>
      </c>
      <c r="AE13" s="8">
        <f>IF(E13="","",IFERROR(VLOOKUP(E13,全弧盘突破材料对照!$A:$H,5,FALSE),""))</f>
        <v/>
      </c>
      <c r="AF13" s="9">
        <f>IF(OR(E13="",F13="",G13=""),"",SUMIF(弧盘强化总表!$A:$A,"&lt;="&amp;G13,弧盘强化总表!$G:$G)-SUMIF(弧盘强化总表!$A:$A,"&lt;="&amp;F13,弧盘强化总表!$G:$G))</f>
        <v/>
      </c>
      <c r="AG13" s="9">
        <f>IF(OR(E13="",F13="",G13=""),"",SUMIF(弧盘强化总表!$A:$A,"&lt;="&amp;G13,弧盘强化总表!$H:$H)-SUMIF(弧盘强化总表!$A:$A,"&lt;="&amp;F13,弧盘强化总表!$H:$H))</f>
        <v/>
      </c>
      <c r="AH13" s="9">
        <f>IF(OR(E13="",F13="",G13=""),"",SUMIF(弧盘强化总表!$A:$A,"&lt;="&amp;G13,弧盘强化总表!$I:$I)-SUMIF(弧盘强化总表!$A:$A,"&lt;="&amp;F13,弧盘强化总表!$I:$I))</f>
        <v/>
      </c>
      <c r="AI13" s="9">
        <f>IF(OR(E13="",F13="",G13=""),"",SUMIF(弧盘强化总表!$A:$A,"&lt;="&amp;G13,弧盘强化总表!$J:$J)-SUMIF(弧盘强化总表!$A:$A,"&lt;="&amp;F13,弧盘强化总表!$J:$J))</f>
        <v/>
      </c>
      <c r="AJ13" s="9">
        <f>IF(OR(E13="",F13="",G13=""),"",SUMIF(弧盘强化总表!$A:$A,"&lt;="&amp;G13,弧盘强化总表!$K:$K)-SUMIF(弧盘强化总表!$A:$A,"&lt;="&amp;F13,弧盘强化总表!$K:$K))</f>
        <v/>
      </c>
      <c r="AK13" s="10">
        <f>IF(B13="","",T13+AJ13)</f>
        <v/>
      </c>
      <c r="AL13" s="10">
        <f>IF(B13="","",AG13*500+AH13*2500+AI13*10000)</f>
        <v/>
      </c>
      <c r="AM13" s="10">
        <f>IF(B13="","",L13+AB13)</f>
        <v/>
      </c>
      <c r="AN13" s="10">
        <f>IF(B13="","",N13+AD13)</f>
        <v/>
      </c>
      <c r="AO13" s="10">
        <f>IF(B13="","",P13+AF13)</f>
        <v/>
      </c>
    </row>
    <row r="14" ht="22" customHeight="1">
      <c r="A14" t="n">
        <v>10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8">
        <f>IF(B14="","",IFERROR(VLOOKUP(B14,全角色突破材料对照!$A:$E,2,FALSE),"未找到"))</f>
        <v/>
      </c>
      <c r="J14" s="9">
        <f>IF(OR(B14="",C14="",D14=""),"",SUMIF(角色等级突破材料总表!$A:$A,"&lt;="&amp;D14,角色等级突破材料总表!$E:$E)-SUMIF(角色等级突破材料总表!$A:$A,"&lt;="&amp;C14,角色等级突破材料总表!$E:$E))</f>
        <v/>
      </c>
      <c r="K14" s="8">
        <f>IF(B14="","",IFERROR(VLOOKUP(B14,全角色突破材料对照!$A:$E,3,FALSE),""))</f>
        <v/>
      </c>
      <c r="L14" s="9">
        <f>IF(OR(B14="",C14="",D14=""),"",SUMIF(角色等级突破材料总表!$A:$A,"&lt;="&amp;D14,角色等级突破材料总表!$B:$B)-SUMIF(角色等级突破材料总表!$A:$A,"&lt;="&amp;C14,角色等级突破材料总表!$B:$B))</f>
        <v/>
      </c>
      <c r="M14" s="8">
        <f>IF(B14="","",IFERROR(VLOOKUP(B14,全角色突破材料对照!$A:$E,4,FALSE),""))</f>
        <v/>
      </c>
      <c r="N14" s="9">
        <f>IF(OR(B14="",C14="",D14=""),"",SUMIF(角色等级突破材料总表!$A:$A,"&lt;="&amp;D14,角色等级突破材料总表!$C:$C)-SUMIF(角色等级突破材料总表!$A:$A,"&lt;="&amp;C14,角色等级突破材料总表!$C:$C))</f>
        <v/>
      </c>
      <c r="O14" s="8">
        <f>IF(B14="","",IFERROR(VLOOKUP(B14,全角色突破材料对照!$A:$E,5,FALSE),""))</f>
        <v/>
      </c>
      <c r="P14" s="9">
        <f>IF(OR(B14="",C14="",D14=""),"",SUMIF(角色等级突破材料总表!$A:$A,"&lt;="&amp;D14,角色等级突破材料总表!$D:$D)-SUMIF(角色等级突破材料总表!$A:$A,"&lt;="&amp;C14,角色等级突破材料总表!$D:$D))</f>
        <v/>
      </c>
      <c r="Q14" s="9">
        <f>IF(OR(B14="",C14="",D14=""),"",SUMIF(角色等级突破材料总表!$A:$A,"&lt;="&amp;D14,角色等级突破材料总表!$F:$F)-SUMIF(角色等级突破材料总表!$A:$A,"&lt;="&amp;C14,角色等级突破材料总表!$F:$F))</f>
        <v/>
      </c>
      <c r="R14" s="9">
        <f>IF(OR(B14="",C14="",D14=""),"",SUMIF(角色等级突破材料总表!$A:$A,"&lt;="&amp;D14,角色等级突破材料总表!$G:$G)-SUMIF(角色等级突破材料总表!$A:$A,"&lt;="&amp;C14,角色等级突破材料总表!$G:$G))</f>
        <v/>
      </c>
      <c r="S14" s="9">
        <f>IF(OR(B14="",C14="",D14=""),"",SUMIF(角色等级突破材料总表!$A:$A,"&lt;="&amp;D14,角色等级突破材料总表!$H:$H)-SUMIF(角色等级突破材料总表!$A:$A,"&lt;="&amp;C14,角色等级突破材料总表!$H:$H))</f>
        <v/>
      </c>
      <c r="T14" s="9">
        <f>IF(OR(B14="",C14="",D14=""),"",SUMIF(角色等级突破材料总表!$A:$A,"&lt;="&amp;D14,角色等级突破材料总表!$I:$I)-SUMIF(角色等级突破材料总表!$A:$A,"&lt;="&amp;C14,角色等级突破材料总表!$I:$I))</f>
        <v/>
      </c>
      <c r="U14" s="8">
        <f>IF(E14="","",IFERROR(VLOOKUP(E14,全弧盘突破材料对照!$A:$H,6,FALSE),"未找到"))</f>
        <v/>
      </c>
      <c r="V14" s="9">
        <f>IF(OR(E14="",F14="",G14=""),"",SUMIF(弧盘强化总表!$A:$A,"&lt;="&amp;G14,弧盘强化总表!$B:$B)-SUMIF(弧盘强化总表!$A:$A,"&lt;="&amp;F14,弧盘强化总表!$B:$B))</f>
        <v/>
      </c>
      <c r="W14" s="8">
        <f>IF(E14="","",IFERROR(VLOOKUP(E14,全弧盘突破材料对照!$A:$H,7,FALSE),""))</f>
        <v/>
      </c>
      <c r="X14" s="9">
        <f>IF(OR(E14="",F14="",G14=""),"",SUMIF(弧盘强化总表!$A:$A,"&lt;="&amp;G14,弧盘强化总表!$C:$C)-SUMIF(弧盘强化总表!$A:$A,"&lt;="&amp;F14,弧盘强化总表!$C:$C))</f>
        <v/>
      </c>
      <c r="Y14" s="8">
        <f>IF(E14="","",IFERROR(VLOOKUP(E14,全弧盘突破材料对照!$A:$H,8,FALSE),""))</f>
        <v/>
      </c>
      <c r="Z14" s="9">
        <f>IF(OR(E14="",F14="",G14=""),"",SUMIF(弧盘强化总表!$A:$A,"&lt;="&amp;G14,弧盘强化总表!$D:$D)-SUMIF(弧盘强化总表!$A:$A,"&lt;="&amp;F14,弧盘强化总表!$D:$D))</f>
        <v/>
      </c>
      <c r="AA14" s="8">
        <f>IF(E14="","",IFERROR(VLOOKUP(E14,全弧盘突破材料对照!$A:$H,3,FALSE),""))</f>
        <v/>
      </c>
      <c r="AB14" s="9">
        <f>IF(OR(E14="",F14="",G14=""),"",SUMIF(弧盘强化总表!$A:$A,"&lt;="&amp;G14,弧盘强化总表!$E:$E)-SUMIF(弧盘强化总表!$A:$A,"&lt;="&amp;F14,弧盘强化总表!$E:$E))</f>
        <v/>
      </c>
      <c r="AC14" s="8">
        <f>IF(E14="","",IFERROR(VLOOKUP(E14,全弧盘突破材料对照!$A:$H,4,FALSE),""))</f>
        <v/>
      </c>
      <c r="AD14" s="9">
        <f>IF(OR(E14="",F14="",G14=""),"",SUMIF(弧盘强化总表!$A:$A,"&lt;="&amp;G14,弧盘强化总表!$F:$F)-SUMIF(弧盘强化总表!$A:$A,"&lt;="&amp;F14,弧盘强化总表!$F:$F))</f>
        <v/>
      </c>
      <c r="AE14" s="8">
        <f>IF(E14="","",IFERROR(VLOOKUP(E14,全弧盘突破材料对照!$A:$H,5,FALSE),""))</f>
        <v/>
      </c>
      <c r="AF14" s="9">
        <f>IF(OR(E14="",F14="",G14=""),"",SUMIF(弧盘强化总表!$A:$A,"&lt;="&amp;G14,弧盘强化总表!$G:$G)-SUMIF(弧盘强化总表!$A:$A,"&lt;="&amp;F14,弧盘强化总表!$G:$G))</f>
        <v/>
      </c>
      <c r="AG14" s="9">
        <f>IF(OR(E14="",F14="",G14=""),"",SUMIF(弧盘强化总表!$A:$A,"&lt;="&amp;G14,弧盘强化总表!$H:$H)-SUMIF(弧盘强化总表!$A:$A,"&lt;="&amp;F14,弧盘强化总表!$H:$H))</f>
        <v/>
      </c>
      <c r="AH14" s="9">
        <f>IF(OR(E14="",F14="",G14=""),"",SUMIF(弧盘强化总表!$A:$A,"&lt;="&amp;G14,弧盘强化总表!$I:$I)-SUMIF(弧盘强化总表!$A:$A,"&lt;="&amp;F14,弧盘强化总表!$I:$I))</f>
        <v/>
      </c>
      <c r="AI14" s="9">
        <f>IF(OR(E14="",F14="",G14=""),"",SUMIF(弧盘强化总表!$A:$A,"&lt;="&amp;G14,弧盘强化总表!$J:$J)-SUMIF(弧盘强化总表!$A:$A,"&lt;="&amp;F14,弧盘强化总表!$J:$J))</f>
        <v/>
      </c>
      <c r="AJ14" s="9">
        <f>IF(OR(E14="",F14="",G14=""),"",SUMIF(弧盘强化总表!$A:$A,"&lt;="&amp;G14,弧盘强化总表!$K:$K)-SUMIF(弧盘强化总表!$A:$A,"&lt;="&amp;F14,弧盘强化总表!$K:$K))</f>
        <v/>
      </c>
      <c r="AK14" s="10">
        <f>IF(B14="","",T14+AJ14)</f>
        <v/>
      </c>
      <c r="AL14" s="10">
        <f>IF(B14="","",AG14*500+AH14*2500+AI14*10000)</f>
        <v/>
      </c>
      <c r="AM14" s="10">
        <f>IF(B14="","",L14+AB14)</f>
        <v/>
      </c>
      <c r="AN14" s="10">
        <f>IF(B14="","",N14+AD14)</f>
        <v/>
      </c>
      <c r="AO14" s="10">
        <f>IF(B14="","",P14+AF14)</f>
        <v/>
      </c>
    </row>
    <row r="15" ht="26" customHeight="1">
      <c r="A15" s="11" t="inlineStr">
        <is>
          <t>全队汇总</t>
        </is>
      </c>
      <c r="I15" s="10">
        <f>SUM(I5:I14)</f>
        <v/>
      </c>
      <c r="J15" s="10">
        <f>SUM(J5:J14)</f>
        <v/>
      </c>
      <c r="K15" s="10">
        <f>SUM(K5:K14)</f>
        <v/>
      </c>
      <c r="L15" s="10">
        <f>SUM(L5:L14)</f>
        <v/>
      </c>
      <c r="M15" s="10">
        <f>SUM(M5:M14)</f>
        <v/>
      </c>
      <c r="N15" s="10">
        <f>SUM(N5:N14)</f>
        <v/>
      </c>
      <c r="O15" s="10">
        <f>SUM(O5:O14)</f>
        <v/>
      </c>
      <c r="P15" s="10">
        <f>SUM(P5:P14)</f>
        <v/>
      </c>
      <c r="Q15" s="10">
        <f>SUM(Q5:Q14)</f>
        <v/>
      </c>
      <c r="R15" s="10">
        <f>SUM(R5:R14)</f>
        <v/>
      </c>
      <c r="S15" s="10">
        <f>SUM(S5:S14)</f>
        <v/>
      </c>
      <c r="T15" s="10">
        <f>SUM(T5:T14)</f>
        <v/>
      </c>
      <c r="U15" s="10">
        <f>SUM(U5:U14)</f>
        <v/>
      </c>
      <c r="V15" s="10">
        <f>SUM(V5:V14)</f>
        <v/>
      </c>
      <c r="W15" s="10">
        <f>SUM(W5:W14)</f>
        <v/>
      </c>
      <c r="X15" s="10">
        <f>SUM(X5:X14)</f>
        <v/>
      </c>
      <c r="Y15" s="10">
        <f>SUM(Y5:Y14)</f>
        <v/>
      </c>
      <c r="Z15" s="10">
        <f>SUM(Z5:Z14)</f>
        <v/>
      </c>
      <c r="AA15" s="10">
        <f>SUM(AA5:AA14)</f>
        <v/>
      </c>
      <c r="AB15" s="10">
        <f>SUM(AB5:AB14)</f>
        <v/>
      </c>
      <c r="AC15" s="10">
        <f>SUM(AC5:AC14)</f>
        <v/>
      </c>
      <c r="AD15" s="10">
        <f>SUM(AD5:AD14)</f>
        <v/>
      </c>
      <c r="AE15" s="10">
        <f>SUM(AE5:AE14)</f>
        <v/>
      </c>
      <c r="AF15" s="10">
        <f>SUM(AF5:AF14)</f>
        <v/>
      </c>
      <c r="AG15" s="10">
        <f>SUM(AG5:AG14)</f>
        <v/>
      </c>
      <c r="AH15" s="10">
        <f>SUM(AH5:AH14)</f>
        <v/>
      </c>
      <c r="AI15" s="10">
        <f>SUM(AI5:AI14)</f>
        <v/>
      </c>
      <c r="AJ15" s="10">
        <f>SUM(AJ5:AJ14)</f>
        <v/>
      </c>
      <c r="AK15" s="10">
        <f>SUM(AK5:AK14)</f>
        <v/>
      </c>
      <c r="AL15" s="10">
        <f>SUM(AL5:AL14)</f>
        <v/>
      </c>
      <c r="AM15" s="10">
        <f>SUM(AM5:AM14)</f>
        <v/>
      </c>
      <c r="AN15" s="10">
        <f>SUM(AN5:AN14)</f>
        <v/>
      </c>
      <c r="AO15" s="10">
        <f>SUM(AO5:AO14)</f>
        <v/>
      </c>
    </row>
  </sheetData>
  <mergeCells count="3">
    <mergeCell ref="A2:AO2"/>
    <mergeCell ref="A1:AO1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12" t="inlineStr">
        <is>
          <t>角色突破材料总表（累计值）</t>
        </is>
      </c>
    </row>
    <row r="3">
      <c r="A3" s="4" t="inlineStr">
        <is>
          <t>等级</t>
        </is>
      </c>
      <c r="B3" s="4" t="inlineStr">
        <is>
          <t>低级异像素材</t>
        </is>
      </c>
      <c r="C3" s="4" t="inlineStr">
        <is>
          <t>中级异像素材</t>
        </is>
      </c>
      <c r="D3" s="4" t="inlineStr">
        <is>
          <t>高级异像素材</t>
        </is>
      </c>
      <c r="E3" s="4" t="inlineStr">
        <is>
          <t>突破素材</t>
        </is>
      </c>
      <c r="F3" s="4" t="inlineStr">
        <is>
          <t>新锐猎人攻略</t>
        </is>
      </c>
      <c r="G3" s="4" t="inlineStr">
        <is>
          <t>资深猎人攻略</t>
        </is>
      </c>
      <c r="H3" s="4" t="inlineStr">
        <is>
          <t>特级猎人攻略</t>
        </is>
      </c>
      <c r="I3" s="4" t="inlineStr">
        <is>
          <t>累计甲硬币</t>
        </is>
      </c>
      <c r="J3" s="4" t="inlineStr">
        <is>
          <t>累计经验</t>
        </is>
      </c>
      <c r="K3" s="4" t="inlineStr">
        <is>
          <t>备注</t>
        </is>
      </c>
    </row>
    <row r="4" ht="22" customHeight="1">
      <c r="A4" s="13" t="n">
        <v>20</v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19</v>
      </c>
      <c r="G4" s="13" t="n">
        <v>0</v>
      </c>
      <c r="H4" s="13" t="n">
        <v>5</v>
      </c>
      <c r="I4" s="13" t="n">
        <v>29750</v>
      </c>
      <c r="J4" s="13" t="n">
        <v>119000</v>
      </c>
      <c r="K4" s="13" t="inlineStr"/>
    </row>
    <row r="5" ht="22" customHeight="1">
      <c r="A5" s="13" t="n">
        <v>30</v>
      </c>
      <c r="B5" s="13" t="n">
        <v>5</v>
      </c>
      <c r="C5" s="13" t="n">
        <v>0</v>
      </c>
      <c r="D5" s="13" t="n">
        <v>0</v>
      </c>
      <c r="E5" s="13" t="n">
        <v>0</v>
      </c>
      <c r="F5" s="13" t="n">
        <v>19</v>
      </c>
      <c r="G5" s="13" t="n">
        <v>0</v>
      </c>
      <c r="H5" s="13" t="n">
        <v>10</v>
      </c>
      <c r="I5" s="13" t="n">
        <v>54750</v>
      </c>
      <c r="J5" s="13" t="n">
        <v>219000</v>
      </c>
      <c r="K5" s="13" t="inlineStr">
        <is>
          <t>⭐</t>
        </is>
      </c>
    </row>
    <row r="6" ht="22" customHeight="1">
      <c r="A6" s="13" t="n">
        <v>40</v>
      </c>
      <c r="B6" s="13" t="n">
        <v>12</v>
      </c>
      <c r="C6" s="13" t="n">
        <v>0</v>
      </c>
      <c r="D6" s="13" t="n">
        <v>0</v>
      </c>
      <c r="E6" s="13" t="n">
        <v>2</v>
      </c>
      <c r="F6" s="13" t="n">
        <v>19</v>
      </c>
      <c r="G6" s="13" t="n">
        <v>0</v>
      </c>
      <c r="H6" s="13" t="n">
        <v>18</v>
      </c>
      <c r="I6" s="13" t="n">
        <v>144750</v>
      </c>
      <c r="J6" s="13" t="n">
        <v>379000</v>
      </c>
      <c r="K6" s="13" t="inlineStr">
        <is>
          <t>⭐⭐</t>
        </is>
      </c>
    </row>
    <row r="7" ht="22" customHeight="1">
      <c r="A7" s="13" t="n">
        <v>50</v>
      </c>
      <c r="B7" s="13" t="n">
        <v>0</v>
      </c>
      <c r="C7" s="13" t="n">
        <v>6</v>
      </c>
      <c r="D7" s="13" t="n">
        <v>0</v>
      </c>
      <c r="E7" s="13" t="n">
        <v>8</v>
      </c>
      <c r="F7" s="13" t="n">
        <v>19</v>
      </c>
      <c r="G7" s="13" t="n">
        <v>0</v>
      </c>
      <c r="H7" s="13" t="n">
        <v>30</v>
      </c>
      <c r="I7" s="13" t="n">
        <v>229750</v>
      </c>
      <c r="J7" s="13" t="n">
        <v>619000</v>
      </c>
      <c r="K7" s="13" t="inlineStr">
        <is>
          <t>⭐⭐⭐</t>
        </is>
      </c>
    </row>
    <row r="8" ht="22" customHeight="1">
      <c r="A8" s="13" t="n">
        <v>60</v>
      </c>
      <c r="B8" s="13" t="n">
        <v>0</v>
      </c>
      <c r="C8" s="13" t="n">
        <v>12</v>
      </c>
      <c r="D8" s="13" t="n">
        <v>0</v>
      </c>
      <c r="E8" s="13" t="n">
        <v>16</v>
      </c>
      <c r="F8" s="13" t="n">
        <v>0</v>
      </c>
      <c r="G8" s="13" t="n">
        <v>0</v>
      </c>
      <c r="H8" s="13" t="n">
        <v>50</v>
      </c>
      <c r="I8" s="13" t="n">
        <v>345000</v>
      </c>
      <c r="J8" s="13" t="n">
        <v>1000000</v>
      </c>
      <c r="K8" s="13" t="inlineStr">
        <is>
          <t>⭐⭐⭐⭐</t>
        </is>
      </c>
    </row>
    <row r="9" ht="22" customHeight="1">
      <c r="A9" s="13" t="n">
        <v>70</v>
      </c>
      <c r="B9" s="13" t="n">
        <v>0</v>
      </c>
      <c r="C9" s="13" t="n">
        <v>0</v>
      </c>
      <c r="D9" s="13" t="n">
        <v>6</v>
      </c>
      <c r="E9" s="13" t="n">
        <v>24</v>
      </c>
      <c r="F9" s="13" t="n">
        <v>19</v>
      </c>
      <c r="G9" s="13" t="n">
        <v>0</v>
      </c>
      <c r="H9" s="13" t="n">
        <v>80</v>
      </c>
      <c r="I9" s="13" t="n">
        <v>529750</v>
      </c>
      <c r="J9" s="13" t="n">
        <v>1619000</v>
      </c>
      <c r="K9" s="13" t="inlineStr">
        <is>
          <t>⭐⭐⭐⭐⭐</t>
        </is>
      </c>
    </row>
    <row r="10" ht="22" customHeight="1">
      <c r="A10" s="13" t="n">
        <v>80</v>
      </c>
      <c r="B10" s="13" t="n">
        <v>0</v>
      </c>
      <c r="C10" s="13" t="n">
        <v>0</v>
      </c>
      <c r="D10" s="13" t="n">
        <v>9</v>
      </c>
      <c r="E10" s="13" t="n">
        <v>36</v>
      </c>
      <c r="F10" s="13" t="n">
        <v>19</v>
      </c>
      <c r="G10" s="13" t="n">
        <v>0</v>
      </c>
      <c r="H10" s="13" t="n">
        <v>130</v>
      </c>
      <c r="I10" s="13" t="n">
        <v>804750</v>
      </c>
      <c r="J10" s="13" t="n">
        <v>2619000</v>
      </c>
      <c r="K10" s="13" t="inlineStr">
        <is>
          <t>⭐⭐⭐⭐⭐⭐</t>
        </is>
      </c>
    </row>
    <row r="11">
      <c r="A11" s="14" t="inlineStr">
        <is>
          <t>注：以上为示例数据，请根据异环实际游戏数值修改。本表使用累计值，方便公式直接相减计算缺口。</t>
        </is>
      </c>
    </row>
  </sheetData>
  <mergeCells count="2">
    <mergeCell ref="A11:K1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12" t="inlineStr">
        <is>
          <t>弧盘强化材料总表（累计值）</t>
        </is>
      </c>
    </row>
    <row r="3">
      <c r="A3" s="5" t="inlineStr">
        <is>
          <t>弧盘等级</t>
        </is>
      </c>
      <c r="B3" s="5" t="inlineStr">
        <is>
          <t>低级弧盘素材</t>
        </is>
      </c>
      <c r="C3" s="5" t="inlineStr">
        <is>
          <t>中级弧盘素材</t>
        </is>
      </c>
      <c r="D3" s="5" t="inlineStr">
        <is>
          <t>高级弧盘素材</t>
        </is>
      </c>
      <c r="E3" s="5" t="inlineStr">
        <is>
          <t>低级异像素材</t>
        </is>
      </c>
      <c r="F3" s="5" t="inlineStr">
        <is>
          <t>中级异像素材</t>
        </is>
      </c>
      <c r="G3" s="5" t="inlineStr">
        <is>
          <t>高级异像素材</t>
        </is>
      </c>
      <c r="H3" s="5" t="inlineStr">
        <is>
          <t>淡色染剂</t>
        </is>
      </c>
      <c r="I3" s="5" t="inlineStr">
        <is>
          <t>无彩染剂</t>
        </is>
      </c>
      <c r="J3" s="5" t="inlineStr">
        <is>
          <t>混沌染剂</t>
        </is>
      </c>
      <c r="K3" s="5" t="inlineStr">
        <is>
          <t>累计甲硬币</t>
        </is>
      </c>
      <c r="L3" s="5" t="inlineStr">
        <is>
          <t>累计经验</t>
        </is>
      </c>
      <c r="M3" s="5" t="inlineStr">
        <is>
          <t>备注</t>
        </is>
      </c>
    </row>
    <row r="4" ht="22" customHeight="1">
      <c r="A4" s="13" t="n">
        <v>20</v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4</v>
      </c>
      <c r="K4" s="13" t="n">
        <v>12000</v>
      </c>
      <c r="L4" s="13" t="n">
        <v>40000</v>
      </c>
      <c r="M4" s="13" t="inlineStr"/>
    </row>
    <row r="5" ht="22" customHeight="1">
      <c r="A5" s="13" t="n">
        <v>30</v>
      </c>
      <c r="B5" s="13" t="n">
        <v>3</v>
      </c>
      <c r="C5" s="13" t="n">
        <v>0</v>
      </c>
      <c r="D5" s="13" t="n">
        <v>0</v>
      </c>
      <c r="E5" s="13" t="n">
        <v>3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10</v>
      </c>
      <c r="K5" s="13" t="n">
        <v>46000</v>
      </c>
      <c r="L5" s="13" t="n">
        <v>100000</v>
      </c>
      <c r="M5" s="13" t="inlineStr">
        <is>
          <t>⭐</t>
        </is>
      </c>
    </row>
    <row r="6" ht="22" customHeight="1">
      <c r="A6" s="13" t="n">
        <v>40</v>
      </c>
      <c r="B6" s="13" t="n">
        <v>8</v>
      </c>
      <c r="C6" s="13" t="n">
        <v>0</v>
      </c>
      <c r="D6" s="13" t="n">
        <v>0</v>
      </c>
      <c r="E6" s="13" t="n">
        <v>8</v>
      </c>
      <c r="F6" s="13" t="n">
        <v>0</v>
      </c>
      <c r="G6" s="13" t="n">
        <v>0</v>
      </c>
      <c r="H6" s="13" t="n">
        <v>0</v>
      </c>
      <c r="I6" s="13" t="n">
        <v>2</v>
      </c>
      <c r="J6" s="13" t="n">
        <v>28</v>
      </c>
      <c r="K6" s="13" t="n">
        <v>90500</v>
      </c>
      <c r="L6" s="13" t="n">
        <v>285000</v>
      </c>
      <c r="M6" s="13" t="inlineStr">
        <is>
          <t>⭐⭐</t>
        </is>
      </c>
    </row>
    <row r="7" ht="22" customHeight="1">
      <c r="A7" s="13" t="n">
        <v>50</v>
      </c>
      <c r="B7" s="13" t="n">
        <v>0</v>
      </c>
      <c r="C7" s="13" t="n">
        <v>6</v>
      </c>
      <c r="D7" s="13" t="n">
        <v>0</v>
      </c>
      <c r="E7" s="13" t="n">
        <v>0</v>
      </c>
      <c r="F7" s="13" t="n">
        <v>6</v>
      </c>
      <c r="G7" s="13" t="n">
        <v>0</v>
      </c>
      <c r="H7" s="13" t="n">
        <v>0</v>
      </c>
      <c r="I7" s="13" t="n">
        <v>2</v>
      </c>
      <c r="J7" s="13" t="n">
        <v>34</v>
      </c>
      <c r="K7" s="13" t="n">
        <v>183500</v>
      </c>
      <c r="L7" s="13" t="n">
        <v>345000</v>
      </c>
      <c r="M7" s="13" t="inlineStr">
        <is>
          <t>⭐⭐⭐</t>
        </is>
      </c>
    </row>
    <row r="8" ht="22" customHeight="1">
      <c r="A8" s="13" t="n">
        <v>60</v>
      </c>
      <c r="B8" s="13" t="n">
        <v>0</v>
      </c>
      <c r="C8" s="13" t="n">
        <v>12</v>
      </c>
      <c r="D8" s="13" t="n">
        <v>0</v>
      </c>
      <c r="E8" s="13" t="n">
        <v>0</v>
      </c>
      <c r="F8" s="13" t="n">
        <v>12</v>
      </c>
      <c r="G8" s="13" t="n">
        <v>0</v>
      </c>
      <c r="H8" s="13" t="n">
        <v>0</v>
      </c>
      <c r="I8" s="13" t="n">
        <v>1</v>
      </c>
      <c r="J8" s="13" t="n">
        <v>56</v>
      </c>
      <c r="K8" s="13" t="n">
        <v>248750</v>
      </c>
      <c r="L8" s="13" t="n">
        <v>562500</v>
      </c>
      <c r="M8" s="13" t="inlineStr">
        <is>
          <t>⭐⭐⭐⭐</t>
        </is>
      </c>
    </row>
    <row r="9" ht="22" customHeight="1">
      <c r="A9" s="13" t="n">
        <v>70</v>
      </c>
      <c r="B9" s="13" t="n">
        <v>0</v>
      </c>
      <c r="C9" s="13" t="n">
        <v>0</v>
      </c>
      <c r="D9" s="13" t="n">
        <v>6</v>
      </c>
      <c r="E9" s="13" t="n">
        <v>0</v>
      </c>
      <c r="F9" s="13" t="n">
        <v>0</v>
      </c>
      <c r="G9" s="13" t="n">
        <v>6</v>
      </c>
      <c r="H9" s="13" t="n">
        <v>0</v>
      </c>
      <c r="I9" s="13" t="n">
        <v>2</v>
      </c>
      <c r="J9" s="13" t="n">
        <v>91</v>
      </c>
      <c r="K9" s="13" t="n">
        <v>374500</v>
      </c>
      <c r="L9" s="13" t="n">
        <v>915000</v>
      </c>
      <c r="M9" s="13" t="inlineStr">
        <is>
          <t>⭐⭐⭐⭐⭐</t>
        </is>
      </c>
    </row>
    <row r="10" ht="22" customHeight="1">
      <c r="A10" s="13" t="n">
        <v>80</v>
      </c>
      <c r="B10" s="13" t="n">
        <v>0</v>
      </c>
      <c r="C10" s="13" t="n">
        <v>0</v>
      </c>
      <c r="D10" s="13" t="n">
        <v>12</v>
      </c>
      <c r="E10" s="13" t="n">
        <v>0</v>
      </c>
      <c r="F10" s="13" t="n">
        <v>0</v>
      </c>
      <c r="G10" s="13" t="n">
        <v>12</v>
      </c>
      <c r="H10" s="13" t="n">
        <v>0</v>
      </c>
      <c r="I10" s="13" t="n">
        <v>0</v>
      </c>
      <c r="J10" s="13" t="n">
        <v>149</v>
      </c>
      <c r="K10" s="13" t="n">
        <v>567000</v>
      </c>
      <c r="L10" s="13" t="n">
        <v>1490000</v>
      </c>
      <c r="M10" s="13" t="inlineStr">
        <is>
          <t>⭐⭐⭐⭐⭐⭐</t>
        </is>
      </c>
    </row>
    <row r="11">
      <c r="A11" s="14" t="inlineStr">
        <is>
          <t>注：以上为示例数据，弧盘等级请按游戏实际最大等级调整。</t>
        </is>
      </c>
    </row>
  </sheetData>
  <mergeCells count="2">
    <mergeCell ref="A11:M11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2" t="inlineStr">
        <is>
          <t>全角色突破材料类型对照表</t>
        </is>
      </c>
    </row>
    <row r="3">
      <c r="A3" s="4" t="inlineStr">
        <is>
          <t>角色名</t>
        </is>
      </c>
      <c r="B3" s="4" t="inlineStr">
        <is>
          <t>突破素材</t>
        </is>
      </c>
      <c r="C3" s="4" t="inlineStr">
        <is>
          <t>低级异像素材</t>
        </is>
      </c>
      <c r="D3" s="4" t="inlineStr">
        <is>
          <t>中级异像素材</t>
        </is>
      </c>
      <c r="E3" s="4" t="inlineStr">
        <is>
          <t>高级异像素材</t>
        </is>
      </c>
      <c r="F3" s="4" t="inlineStr">
        <is>
          <t>突破素材类型</t>
        </is>
      </c>
      <c r="G3" s="4" t="inlineStr">
        <is>
          <t>备注</t>
        </is>
      </c>
    </row>
    <row r="4" ht="22" customHeight="1">
      <c r="A4" s="13" t="inlineStr">
        <is>
          <t>安魂曲</t>
        </is>
      </c>
      <c r="B4" s="13" t="inlineStr">
        <is>
          <t>倾诉花种</t>
        </is>
      </c>
      <c r="C4" s="13" t="inlineStr">
        <is>
          <t>失落絮语</t>
        </is>
      </c>
      <c r="D4" s="13" t="inlineStr">
        <is>
          <t>茫昧絮语</t>
        </is>
      </c>
      <c r="E4" s="13" t="inlineStr">
        <is>
          <t>悖谬絮语</t>
        </is>
      </c>
      <c r="F4" s="13" t="inlineStr">
        <is>
          <t>塞润尼缇</t>
        </is>
      </c>
      <c r="G4" s="13" t="inlineStr">
        <is>
          <t>未闻浦地区-塞润尼缇庄园</t>
        </is>
      </c>
    </row>
    <row r="5" ht="22" customHeight="1">
      <c r="A5" s="13" t="inlineStr">
        <is>
          <t>浔</t>
        </is>
      </c>
      <c r="B5" s="13" t="inlineStr">
        <is>
          <t>倾诉花种</t>
        </is>
      </c>
      <c r="C5" s="13" t="inlineStr">
        <is>
          <t>失落絮语</t>
        </is>
      </c>
      <c r="D5" s="13" t="inlineStr">
        <is>
          <t>茫昧絮语</t>
        </is>
      </c>
      <c r="E5" s="13" t="inlineStr">
        <is>
          <t>悖谬絮语</t>
        </is>
      </c>
      <c r="F5" s="13" t="inlineStr">
        <is>
          <t>塞润尼缇</t>
        </is>
      </c>
      <c r="G5" s="13" t="inlineStr">
        <is>
          <t>未闻浦地区-塞润尼缇庄园</t>
        </is>
      </c>
    </row>
    <row r="6" ht="22" customHeight="1">
      <c r="A6" s="13" t="inlineStr">
        <is>
          <t>白藏</t>
        </is>
      </c>
      <c r="B6" s="13" t="inlineStr">
        <is>
          <t>护巢残片</t>
        </is>
      </c>
      <c r="C6" s="13" t="inlineStr">
        <is>
          <t>模糊数符</t>
        </is>
      </c>
      <c r="D6" s="13" t="inlineStr">
        <is>
          <t>未解数符</t>
        </is>
      </c>
      <c r="E6" s="13" t="inlineStr">
        <is>
          <t>扭曲数符</t>
        </is>
      </c>
      <c r="F6" s="13" t="inlineStr">
        <is>
          <t>囿巢鸟</t>
        </is>
      </c>
      <c r="G6" s="13" t="inlineStr">
        <is>
          <t>新赫兰德区-办公大楼楼顶飞机坪</t>
        </is>
      </c>
    </row>
    <row r="7" ht="22" customHeight="1">
      <c r="A7" s="13" t="inlineStr">
        <is>
          <t>哈索尔</t>
        </is>
      </c>
      <c r="B7" s="13" t="inlineStr">
        <is>
          <t>斑斓的票根</t>
        </is>
      </c>
      <c r="C7" s="13" t="inlineStr">
        <is>
          <t>悬想幻妄</t>
        </is>
      </c>
      <c r="D7" s="13" t="inlineStr">
        <is>
          <t>渴念幻妄</t>
        </is>
      </c>
      <c r="E7" s="13" t="inlineStr">
        <is>
          <t>超验幻妄</t>
        </is>
      </c>
      <c r="F7" s="13" t="inlineStr">
        <is>
          <t>斑蝶</t>
        </is>
      </c>
      <c r="G7" s="13" t="inlineStr">
        <is>
          <t>新赫兰德区-电影院</t>
        </is>
      </c>
    </row>
    <row r="8" ht="22" customHeight="1">
      <c r="A8" s="13" t="inlineStr">
        <is>
          <t>异能者</t>
        </is>
      </c>
      <c r="B8" s="13" t="inlineStr">
        <is>
          <t>上膛骑士火花塞</t>
        </is>
      </c>
      <c r="C8" s="13" t="inlineStr">
        <is>
          <t>失落絮语</t>
        </is>
      </c>
      <c r="D8" s="13" t="inlineStr">
        <is>
          <t>茫昧絮语</t>
        </is>
      </c>
      <c r="E8" s="13" t="inlineStr">
        <is>
          <t>悖谬絮语</t>
        </is>
      </c>
      <c r="F8" s="13" t="inlineStr">
        <is>
          <t>无头铁驭</t>
        </is>
      </c>
      <c r="G8" s="13" t="inlineStr">
        <is>
          <t>未闻浦地区-隧道</t>
        </is>
      </c>
    </row>
    <row r="9" ht="22" customHeight="1">
      <c r="A9" s="13" t="inlineStr">
        <is>
          <t>娜娜莉</t>
        </is>
      </c>
      <c r="B9" s="13" t="inlineStr">
        <is>
          <t>妄想彼岸的一页</t>
        </is>
      </c>
      <c r="C9" s="13" t="inlineStr">
        <is>
          <t>褪色掠影</t>
        </is>
      </c>
      <c r="D9" s="13" t="inlineStr">
        <is>
          <t>失焦掠影</t>
        </is>
      </c>
      <c r="E9" s="13" t="inlineStr">
        <is>
          <t>晦影掠影</t>
        </is>
      </c>
      <c r="F9" s="13" t="inlineStr">
        <is>
          <t>黑之书</t>
        </is>
      </c>
      <c r="G9" s="13" t="inlineStr">
        <is>
          <t>新赫兰德区-工地三楼</t>
        </is>
      </c>
    </row>
    <row r="10" ht="22" customHeight="1">
      <c r="A10" s="13" t="inlineStr">
        <is>
          <t>九原</t>
        </is>
      </c>
      <c r="B10" s="13" t="inlineStr">
        <is>
          <t>海之泪</t>
        </is>
      </c>
      <c r="C10" s="13" t="inlineStr">
        <is>
          <t>褪色掠影</t>
        </is>
      </c>
      <c r="D10" s="13" t="inlineStr">
        <is>
          <t>失焦掠影</t>
        </is>
      </c>
      <c r="E10" s="13" t="inlineStr">
        <is>
          <t>晦影掠影</t>
        </is>
      </c>
      <c r="F10" s="13" t="inlineStr">
        <is>
          <t>海囚</t>
        </is>
      </c>
      <c r="G10" s="13" t="inlineStr">
        <is>
          <t>新赫兰德区-鹦鹉螺海底隧道</t>
        </is>
      </c>
    </row>
    <row r="11" ht="22" customHeight="1">
      <c r="A11" s="13" t="inlineStr">
        <is>
          <t>早雾</t>
        </is>
      </c>
      <c r="B11" s="13" t="inlineStr">
        <is>
          <t>上膛骑士火花塞</t>
        </is>
      </c>
      <c r="C11" s="13" t="inlineStr">
        <is>
          <t>模糊数符</t>
        </is>
      </c>
      <c r="D11" s="13" t="inlineStr">
        <is>
          <t>未解数符</t>
        </is>
      </c>
      <c r="E11" s="13" t="inlineStr">
        <is>
          <t>扭曲数符</t>
        </is>
      </c>
      <c r="F11" s="13" t="inlineStr">
        <is>
          <t>无头铁驭</t>
        </is>
      </c>
      <c r="G11" s="13" t="inlineStr">
        <is>
          <t>未闻浦地区-隧道</t>
        </is>
      </c>
    </row>
    <row r="12" ht="22" customHeight="1">
      <c r="A12" s="13" t="inlineStr">
        <is>
          <t>法帝娅</t>
        </is>
      </c>
      <c r="B12" s="13" t="inlineStr">
        <is>
          <t>水月色拨片</t>
        </is>
      </c>
      <c r="C12" s="13" t="inlineStr">
        <is>
          <t>褪色掠影</t>
        </is>
      </c>
      <c r="D12" s="13" t="inlineStr">
        <is>
          <t>失焦掠影</t>
        </is>
      </c>
      <c r="E12" s="13" t="inlineStr">
        <is>
          <t>晦影掠影</t>
        </is>
      </c>
      <c r="F12" s="13" t="inlineStr">
        <is>
          <t>音霸魔王</t>
        </is>
      </c>
      <c r="G12" s="13" t="inlineStr">
        <is>
          <t>绘空町-卷叶榕大道</t>
        </is>
      </c>
    </row>
    <row r="13" ht="22" customHeight="1">
      <c r="A13" s="13" t="inlineStr">
        <is>
          <t>达芙蒂尔</t>
        </is>
      </c>
      <c r="B13" s="13" t="inlineStr">
        <is>
          <t>上膛骑士火花塞</t>
        </is>
      </c>
      <c r="C13" s="13" t="inlineStr">
        <is>
          <t>悬想幻妄</t>
        </is>
      </c>
      <c r="D13" s="13" t="inlineStr">
        <is>
          <t>渴念幻妄</t>
        </is>
      </c>
      <c r="E13" s="13" t="inlineStr">
        <is>
          <t>超验幻妄</t>
        </is>
      </c>
      <c r="F13" s="13" t="inlineStr">
        <is>
          <t>无头铁驭</t>
        </is>
      </c>
      <c r="G13" s="13" t="inlineStr">
        <is>
          <t>未闻浦地区-隧道</t>
        </is>
      </c>
    </row>
    <row r="14" ht="22" customHeight="1">
      <c r="A14" s="13" t="inlineStr">
        <is>
          <t>小吱</t>
        </is>
      </c>
      <c r="B14" s="13" t="inlineStr">
        <is>
          <t>海之泪</t>
        </is>
      </c>
      <c r="C14" s="13" t="inlineStr">
        <is>
          <t>失落絮语</t>
        </is>
      </c>
      <c r="D14" s="13" t="inlineStr">
        <is>
          <t>茫昧絮语</t>
        </is>
      </c>
      <c r="E14" s="13" t="inlineStr">
        <is>
          <t>悖谬絮语</t>
        </is>
      </c>
      <c r="F14" s="13" t="inlineStr">
        <is>
          <t>海囚</t>
        </is>
      </c>
      <c r="G14" s="13" t="inlineStr">
        <is>
          <t>新赫兰德区-鹦鹉螺海底隧道</t>
        </is>
      </c>
    </row>
    <row r="15" ht="22" customHeight="1">
      <c r="A15" s="13" t="inlineStr">
        <is>
          <t>阿德勒</t>
        </is>
      </c>
      <c r="B15" s="13" t="inlineStr">
        <is>
          <t>水月色拨片</t>
        </is>
      </c>
      <c r="C15" s="13" t="inlineStr">
        <is>
          <t>模糊数符</t>
        </is>
      </c>
      <c r="D15" s="13" t="inlineStr">
        <is>
          <t>未解数符</t>
        </is>
      </c>
      <c r="E15" s="13" t="inlineStr">
        <is>
          <t>扭曲数符</t>
        </is>
      </c>
      <c r="F15" s="13" t="inlineStr">
        <is>
          <t>音霸魔王</t>
        </is>
      </c>
      <c r="G15" s="13" t="inlineStr">
        <is>
          <t>绘空町-卷叶榕大道</t>
        </is>
      </c>
    </row>
    <row r="16" ht="22" customHeight="1">
      <c r="A16" s="13" t="inlineStr">
        <is>
          <t>埃德嘉</t>
        </is>
      </c>
      <c r="B16" s="13" t="inlineStr">
        <is>
          <t>斑斓的票根</t>
        </is>
      </c>
      <c r="C16" s="13" t="inlineStr">
        <is>
          <t>失落絮语</t>
        </is>
      </c>
      <c r="D16" s="13" t="inlineStr">
        <is>
          <t>茫昧絮语</t>
        </is>
      </c>
      <c r="E16" s="13" t="inlineStr">
        <is>
          <t>悖谬絮语</t>
        </is>
      </c>
      <c r="F16" s="13" t="inlineStr">
        <is>
          <t>斑蝶</t>
        </is>
      </c>
      <c r="G16" s="13" t="inlineStr">
        <is>
          <t>新赫兰德区-电影院</t>
        </is>
      </c>
    </row>
    <row r="17" ht="22" customHeight="1">
      <c r="A17" s="13" t="inlineStr">
        <is>
          <t>哈尼娅</t>
        </is>
      </c>
      <c r="B17" s="13" t="inlineStr">
        <is>
          <t>护巢残片</t>
        </is>
      </c>
      <c r="C17" s="13" t="inlineStr">
        <is>
          <t>模糊数符</t>
        </is>
      </c>
      <c r="D17" s="13" t="inlineStr">
        <is>
          <t>未解数符</t>
        </is>
      </c>
      <c r="E17" s="13" t="inlineStr">
        <is>
          <t>扭曲数符</t>
        </is>
      </c>
      <c r="F17" s="13" t="inlineStr">
        <is>
          <t>囿巢鸟</t>
        </is>
      </c>
      <c r="G17" s="13" t="inlineStr">
        <is>
          <t>新赫兰德区-办公大楼楼顶飞机坪</t>
        </is>
      </c>
    </row>
    <row r="18" ht="22" customHeight="1">
      <c r="A18" s="13" t="inlineStr">
        <is>
          <t>海月</t>
        </is>
      </c>
      <c r="B18" s="13" t="inlineStr">
        <is>
          <t>护巢残片</t>
        </is>
      </c>
      <c r="C18" s="13" t="inlineStr">
        <is>
          <t>悬想幻妄</t>
        </is>
      </c>
      <c r="D18" s="13" t="inlineStr">
        <is>
          <t>渴念幻妄</t>
        </is>
      </c>
      <c r="E18" s="13" t="inlineStr">
        <is>
          <t>超验幻妄</t>
        </is>
      </c>
      <c r="F18" s="13" t="inlineStr">
        <is>
          <t>囿巢鸟</t>
        </is>
      </c>
      <c r="G18" s="13" t="inlineStr">
        <is>
          <t>新赫兰德区-办公大楼楼顶飞机坪</t>
        </is>
      </c>
    </row>
    <row r="19" ht="22" customHeight="1">
      <c r="A19" s="13" t="inlineStr">
        <is>
          <t>薄荷</t>
        </is>
      </c>
      <c r="B19" s="13" t="inlineStr">
        <is>
          <t>妄想彼岸的一页</t>
        </is>
      </c>
      <c r="C19" s="13" t="inlineStr">
        <is>
          <t>褪色掠影</t>
        </is>
      </c>
      <c r="D19" s="13" t="inlineStr">
        <is>
          <t>失焦掠影</t>
        </is>
      </c>
      <c r="E19" s="13" t="inlineStr">
        <is>
          <t>晦影掠影</t>
        </is>
      </c>
      <c r="F19" s="13" t="inlineStr">
        <is>
          <t>黑之书</t>
        </is>
      </c>
      <c r="G19" s="13" t="inlineStr">
        <is>
          <t>新赫兰德区-工地三楼</t>
        </is>
      </c>
    </row>
    <row r="20" ht="22" customHeight="1">
      <c r="A20" s="13" t="inlineStr">
        <is>
          <t>翳</t>
        </is>
      </c>
      <c r="B20" s="13" t="inlineStr">
        <is>
          <t>倾诉花种</t>
        </is>
      </c>
      <c r="C20" s="13" t="inlineStr">
        <is>
          <t>悬想幻妄</t>
        </is>
      </c>
      <c r="D20" s="13" t="inlineStr">
        <is>
          <t>渴念幻妄</t>
        </is>
      </c>
      <c r="E20" s="13" t="inlineStr">
        <is>
          <t>超验幻妄</t>
        </is>
      </c>
      <c r="F20" s="13" t="inlineStr">
        <is>
          <t>塞润尼缇</t>
        </is>
      </c>
      <c r="G20" s="13" t="inlineStr">
        <is>
          <t>未闻浦地区-塞润尼缇庄园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2" t="inlineStr">
        <is>
          <t>全弧盘突破材料类型对照表</t>
        </is>
      </c>
    </row>
    <row r="3">
      <c r="A3" s="5" t="inlineStr">
        <is>
          <t>弧盘名</t>
        </is>
      </c>
      <c r="B3" s="5" t="inlineStr">
        <is>
          <t>类别</t>
        </is>
      </c>
      <c r="C3" s="5" t="inlineStr">
        <is>
          <t>低级异像素材</t>
        </is>
      </c>
      <c r="D3" s="5" t="inlineStr">
        <is>
          <t>中级异像素材</t>
        </is>
      </c>
      <c r="E3" s="5" t="inlineStr">
        <is>
          <t>高级异像素材</t>
        </is>
      </c>
      <c r="F3" s="5" t="inlineStr">
        <is>
          <t>低级弧盘素材</t>
        </is>
      </c>
      <c r="G3" s="5" t="inlineStr">
        <is>
          <t>中级弧盘素材</t>
        </is>
      </c>
      <c r="H3" s="5" t="inlineStr">
        <is>
          <t>高级弧盘素材</t>
        </is>
      </c>
    </row>
    <row r="4" ht="22" customHeight="1">
      <c r="A4" s="13" t="inlineStr">
        <is>
          <t>银河暂留</t>
        </is>
      </c>
      <c r="B4" s="13" t="inlineStr">
        <is>
          <t>等离子</t>
        </is>
      </c>
      <c r="C4" s="13" t="inlineStr">
        <is>
          <t>悬想幻妄</t>
        </is>
      </c>
      <c r="D4" s="13" t="inlineStr">
        <is>
          <t>渴念幻妄</t>
        </is>
      </c>
      <c r="E4" s="13" t="inlineStr">
        <is>
          <t>超验幻妄</t>
        </is>
      </c>
      <c r="F4" s="13" t="inlineStr">
        <is>
          <t>液态梦试用装</t>
        </is>
      </c>
      <c r="G4" s="13" t="inlineStr">
        <is>
          <t>液态梦旅行装</t>
        </is>
      </c>
      <c r="H4" s="13" t="inlineStr">
        <is>
          <t>灌装液态梦</t>
        </is>
      </c>
    </row>
    <row r="5" ht="22" customHeight="1">
      <c r="A5" s="13" t="inlineStr">
        <is>
          <t>倾世之语</t>
        </is>
      </c>
      <c r="B5" s="13" t="inlineStr">
        <is>
          <t>固态</t>
        </is>
      </c>
      <c r="C5" s="13" t="inlineStr">
        <is>
          <t>失落絮语</t>
        </is>
      </c>
      <c r="D5" s="13" t="inlineStr">
        <is>
          <t>茫昧絮语</t>
        </is>
      </c>
      <c r="E5" s="13" t="inlineStr">
        <is>
          <t>悖谬絮语</t>
        </is>
      </c>
      <c r="F5" s="13" t="inlineStr">
        <is>
          <t>螺旋乐碎屑</t>
        </is>
      </c>
      <c r="G5" s="13" t="inlineStr">
        <is>
          <t>螺旋乐小节</t>
        </is>
      </c>
      <c r="H5" s="13" t="inlineStr">
        <is>
          <t>螺旋乐齐奏</t>
        </is>
      </c>
    </row>
    <row r="6" ht="22" customHeight="1">
      <c r="A6" s="13" t="inlineStr">
        <is>
          <t>最后一朵玫瑰</t>
        </is>
      </c>
      <c r="B6" s="13" t="inlineStr">
        <is>
          <t>液态</t>
        </is>
      </c>
      <c r="C6" s="13" t="inlineStr">
        <is>
          <t>失落絮语</t>
        </is>
      </c>
      <c r="D6" s="13" t="inlineStr">
        <is>
          <t>茫昧絮语</t>
        </is>
      </c>
      <c r="E6" s="13" t="inlineStr">
        <is>
          <t>悖谬絮语</t>
        </is>
      </c>
      <c r="F6" s="13" t="inlineStr">
        <is>
          <t>铁制苹果核</t>
        </is>
      </c>
      <c r="G6" s="13" t="inlineStr">
        <is>
          <t>银质苹果核</t>
        </is>
      </c>
      <c r="H6" s="13" t="inlineStr">
        <is>
          <t>金色苹果核</t>
        </is>
      </c>
    </row>
    <row r="7" ht="22" customHeight="1">
      <c r="A7" s="13" t="inlineStr">
        <is>
          <t>预备备</t>
        </is>
      </c>
      <c r="B7" s="13" t="inlineStr">
        <is>
          <t>等离子</t>
        </is>
      </c>
      <c r="C7" s="13" t="inlineStr">
        <is>
          <t>失落絮语</t>
        </is>
      </c>
      <c r="D7" s="13" t="inlineStr">
        <is>
          <t>茫昧絮语</t>
        </is>
      </c>
      <c r="E7" s="13" t="inlineStr">
        <is>
          <t>悖谬絮语</t>
        </is>
      </c>
      <c r="F7" s="13" t="inlineStr">
        <is>
          <t>螺旋乐碎屑</t>
        </is>
      </c>
      <c r="G7" s="13" t="inlineStr">
        <is>
          <t>螺旋乐小节</t>
        </is>
      </c>
      <c r="H7" s="13" t="inlineStr">
        <is>
          <t>螺旋乐齐奏</t>
        </is>
      </c>
    </row>
    <row r="8" ht="22" customHeight="1">
      <c r="A8" s="13" t="inlineStr">
        <is>
          <t>永恒圆舞曲</t>
        </is>
      </c>
      <c r="B8" s="13" t="inlineStr">
        <is>
          <t>聚合</t>
        </is>
      </c>
      <c r="C8" s="13" t="inlineStr">
        <is>
          <t>褪色掠影</t>
        </is>
      </c>
      <c r="D8" s="13" t="inlineStr">
        <is>
          <t>失焦掠影</t>
        </is>
      </c>
      <c r="E8" s="13" t="inlineStr">
        <is>
          <t>晦影掠影</t>
        </is>
      </c>
      <c r="F8" s="13" t="inlineStr">
        <is>
          <t>无味冷点心</t>
        </is>
      </c>
      <c r="G8" s="13" t="inlineStr">
        <is>
          <t>原味冷点心</t>
        </is>
      </c>
      <c r="H8" s="13" t="inlineStr">
        <is>
          <t>特制冷点心</t>
        </is>
      </c>
    </row>
    <row r="9" ht="22" customHeight="1">
      <c r="A9" s="13" t="inlineStr">
        <is>
          <t>引爆全场</t>
        </is>
      </c>
      <c r="B9" s="13" t="inlineStr">
        <is>
          <t>固态</t>
        </is>
      </c>
      <c r="C9" s="13" t="inlineStr">
        <is>
          <t>模糊数符</t>
        </is>
      </c>
      <c r="D9" s="13" t="inlineStr">
        <is>
          <t>未解数符</t>
        </is>
      </c>
      <c r="E9" s="13" t="inlineStr">
        <is>
          <t>扭曲数符</t>
        </is>
      </c>
      <c r="F9" s="13" t="inlineStr">
        <is>
          <t>螺旋乐碎屑</t>
        </is>
      </c>
      <c r="G9" s="13" t="inlineStr">
        <is>
          <t>螺旋乐小节</t>
        </is>
      </c>
      <c r="H9" s="13" t="inlineStr">
        <is>
          <t>螺旋乐齐奏</t>
        </is>
      </c>
    </row>
    <row r="10" ht="22" customHeight="1">
      <c r="A10" s="13" t="inlineStr">
        <is>
          <t>焰魂狂飙</t>
        </is>
      </c>
      <c r="B10" s="13" t="inlineStr">
        <is>
          <t>等离子</t>
        </is>
      </c>
      <c r="C10" s="13" t="inlineStr">
        <is>
          <t>悬想幻妄</t>
        </is>
      </c>
      <c r="D10" s="13" t="inlineStr">
        <is>
          <t>渴念幻妄</t>
        </is>
      </c>
      <c r="E10" s="13" t="inlineStr">
        <is>
          <t>超验幻妄</t>
        </is>
      </c>
      <c r="F10" s="13" t="inlineStr">
        <is>
          <t>液态梦试用装</t>
        </is>
      </c>
      <c r="G10" s="13" t="inlineStr">
        <is>
          <t>液态梦旅行装</t>
        </is>
      </c>
      <c r="H10" s="13" t="inlineStr">
        <is>
          <t>灌装液态梦</t>
        </is>
      </c>
    </row>
    <row r="11" ht="22" customHeight="1">
      <c r="A11" s="13" t="inlineStr">
        <is>
          <t>休息日</t>
        </is>
      </c>
      <c r="B11" s="13" t="inlineStr">
        <is>
          <t>固态</t>
        </is>
      </c>
      <c r="C11" s="13" t="inlineStr">
        <is>
          <t>失落絮语</t>
        </is>
      </c>
      <c r="D11" s="13" t="inlineStr">
        <is>
          <t>茫昧絮语</t>
        </is>
      </c>
      <c r="E11" s="13" t="inlineStr">
        <is>
          <t>悖谬絮语</t>
        </is>
      </c>
      <c r="F11" s="13" t="inlineStr">
        <is>
          <t>螺旋乐碎屑</t>
        </is>
      </c>
      <c r="G11" s="13" t="inlineStr">
        <is>
          <t>螺旋乐小节</t>
        </is>
      </c>
      <c r="H11" s="13" t="inlineStr">
        <is>
          <t>螺旋乐齐奏</t>
        </is>
      </c>
    </row>
    <row r="12" ht="22" customHeight="1">
      <c r="A12" s="13" t="inlineStr">
        <is>
          <t>凶猛之绵</t>
        </is>
      </c>
      <c r="B12" s="13" t="inlineStr">
        <is>
          <t>聚合</t>
        </is>
      </c>
      <c r="C12" s="13" t="inlineStr">
        <is>
          <t>模糊数符</t>
        </is>
      </c>
      <c r="D12" s="13" t="inlineStr">
        <is>
          <t>未解数符</t>
        </is>
      </c>
      <c r="E12" s="13" t="inlineStr">
        <is>
          <t>扭曲数符</t>
        </is>
      </c>
      <c r="F12" s="13" t="inlineStr">
        <is>
          <t>铁制苹果核</t>
        </is>
      </c>
      <c r="G12" s="13" t="inlineStr">
        <is>
          <t>银质苹果核</t>
        </is>
      </c>
      <c r="H12" s="13" t="inlineStr">
        <is>
          <t>金色苹果核</t>
        </is>
      </c>
    </row>
    <row r="13" ht="22" customHeight="1">
      <c r="A13" s="13" t="inlineStr">
        <is>
          <t>行进于时间之外</t>
        </is>
      </c>
      <c r="B13" s="13" t="inlineStr">
        <is>
          <t>固态</t>
        </is>
      </c>
      <c r="C13" s="13" t="inlineStr">
        <is>
          <t>失落絮语</t>
        </is>
      </c>
      <c r="D13" s="13" t="inlineStr">
        <is>
          <t>茫昧絮语</t>
        </is>
      </c>
      <c r="E13" s="13" t="inlineStr">
        <is>
          <t>悖谬絮语</t>
        </is>
      </c>
      <c r="F13" s="13" t="inlineStr">
        <is>
          <t>入门级戏剧芯</t>
        </is>
      </c>
      <c r="G13" s="13" t="inlineStr">
        <is>
          <t>大师级戏剧芯</t>
        </is>
      </c>
      <c r="H13" s="13" t="inlineStr">
        <is>
          <t>典藏级戏剧芯</t>
        </is>
      </c>
    </row>
    <row r="14" ht="22" customHeight="1">
      <c r="A14" s="13" t="inlineStr">
        <is>
          <t>现实避难所</t>
        </is>
      </c>
      <c r="B14" s="13" t="inlineStr">
        <is>
          <t>固态</t>
        </is>
      </c>
      <c r="C14" s="13" t="inlineStr">
        <is>
          <t>褪色掠影</t>
        </is>
      </c>
      <c r="D14" s="13" t="inlineStr">
        <is>
          <t>失焦掠影</t>
        </is>
      </c>
      <c r="E14" s="13" t="inlineStr">
        <is>
          <t>晦影掠影</t>
        </is>
      </c>
      <c r="F14" s="13" t="inlineStr">
        <is>
          <t>入门级戏剧芯</t>
        </is>
      </c>
      <c r="G14" s="13" t="inlineStr">
        <is>
          <t>大师级戏剧芯</t>
        </is>
      </c>
      <c r="H14" s="13" t="inlineStr">
        <is>
          <t>典藏级戏剧芯</t>
        </is>
      </c>
    </row>
    <row r="15" ht="22" customHeight="1">
      <c r="A15" s="13" t="inlineStr">
        <is>
          <t>无畏之绵</t>
        </is>
      </c>
      <c r="B15" s="13" t="inlineStr">
        <is>
          <t>聚合</t>
        </is>
      </c>
      <c r="C15" s="13" t="inlineStr">
        <is>
          <t>悬想幻妄</t>
        </is>
      </c>
      <c r="D15" s="13" t="inlineStr">
        <is>
          <t>渴念幻妄</t>
        </is>
      </c>
      <c r="E15" s="13" t="inlineStr">
        <is>
          <t>超验幻妄</t>
        </is>
      </c>
      <c r="F15" s="13" t="inlineStr">
        <is>
          <t>无味冷点心</t>
        </is>
      </c>
      <c r="G15" s="13" t="inlineStr">
        <is>
          <t>原味冷点心</t>
        </is>
      </c>
      <c r="H15" s="13" t="inlineStr">
        <is>
          <t>特制冷点心</t>
        </is>
      </c>
    </row>
    <row r="16" ht="22" customHeight="1">
      <c r="A16" s="13" t="inlineStr">
        <is>
          <t>思考喵</t>
        </is>
      </c>
      <c r="B16" s="13" t="inlineStr">
        <is>
          <t>气态</t>
        </is>
      </c>
      <c r="C16" s="13" t="inlineStr">
        <is>
          <t>失落絮语</t>
        </is>
      </c>
      <c r="D16" s="13" t="inlineStr">
        <is>
          <t>茫昧絮语</t>
        </is>
      </c>
      <c r="E16" s="13" t="inlineStr">
        <is>
          <t>悖谬絮语</t>
        </is>
      </c>
      <c r="F16" s="13" t="inlineStr">
        <is>
          <t>液态梦试用装</t>
        </is>
      </c>
      <c r="G16" s="13" t="inlineStr">
        <is>
          <t>液态梦旅行装</t>
        </is>
      </c>
      <c r="H16" s="13" t="inlineStr">
        <is>
          <t>灌装液态梦</t>
        </is>
      </c>
    </row>
    <row r="17" ht="22" customHeight="1">
      <c r="A17" s="13" t="inlineStr">
        <is>
          <t>千金难买你开心</t>
        </is>
      </c>
      <c r="B17" s="13" t="inlineStr">
        <is>
          <t>固态</t>
        </is>
      </c>
      <c r="C17" s="13" t="inlineStr">
        <is>
          <t>失落絮语</t>
        </is>
      </c>
      <c r="D17" s="13" t="inlineStr">
        <is>
          <t>茫昧絮语</t>
        </is>
      </c>
      <c r="E17" s="13" t="inlineStr">
        <is>
          <t>悖谬絮语</t>
        </is>
      </c>
      <c r="F17" s="13" t="inlineStr">
        <is>
          <t>铁制苹果核</t>
        </is>
      </c>
      <c r="G17" s="13" t="inlineStr">
        <is>
          <t>银质苹果核</t>
        </is>
      </c>
      <c r="H17" s="13" t="inlineStr">
        <is>
          <t>金色苹果核</t>
        </is>
      </c>
    </row>
    <row r="18" ht="22" customHeight="1">
      <c r="A18" s="13" t="inlineStr">
        <is>
          <t>漆黑青春妄想</t>
        </is>
      </c>
      <c r="B18" s="13" t="inlineStr">
        <is>
          <t>液态</t>
        </is>
      </c>
      <c r="C18" s="13" t="inlineStr">
        <is>
          <t>悬想幻妄</t>
        </is>
      </c>
      <c r="D18" s="13" t="inlineStr">
        <is>
          <t>渴念幻妄</t>
        </is>
      </c>
      <c r="E18" s="13" t="inlineStr">
        <is>
          <t>超验幻妄</t>
        </is>
      </c>
      <c r="F18" s="13" t="inlineStr">
        <is>
          <t>液态梦试用装</t>
        </is>
      </c>
      <c r="G18" s="13" t="inlineStr">
        <is>
          <t>液态梦旅行装</t>
        </is>
      </c>
      <c r="H18" s="13" t="inlineStr">
        <is>
          <t>灌装液态梦</t>
        </is>
      </c>
    </row>
    <row r="19" ht="22" customHeight="1">
      <c r="A19" s="13" t="inlineStr">
        <is>
          <t>面具下的泪</t>
        </is>
      </c>
      <c r="B19" s="13" t="inlineStr">
        <is>
          <t>气态</t>
        </is>
      </c>
      <c r="C19" s="13" t="inlineStr">
        <is>
          <t>褪色掠影</t>
        </is>
      </c>
      <c r="D19" s="13" t="inlineStr">
        <is>
          <t>失焦掠影</t>
        </is>
      </c>
      <c r="E19" s="13" t="inlineStr">
        <is>
          <t>晦影掠影</t>
        </is>
      </c>
      <c r="F19" s="13" t="inlineStr">
        <is>
          <t>无味冷点心</t>
        </is>
      </c>
      <c r="G19" s="13" t="inlineStr">
        <is>
          <t>原味冷点心</t>
        </is>
      </c>
      <c r="H19" s="13" t="inlineStr">
        <is>
          <t>特制冷点心</t>
        </is>
      </c>
    </row>
    <row r="20" ht="22" customHeight="1">
      <c r="A20" s="13" t="inlineStr">
        <is>
          <t>灵敏之绵</t>
        </is>
      </c>
      <c r="B20" s="13" t="inlineStr">
        <is>
          <t>气态</t>
        </is>
      </c>
      <c r="C20" s="13" t="inlineStr">
        <is>
          <t>悬想幻妄</t>
        </is>
      </c>
      <c r="D20" s="13" t="inlineStr">
        <is>
          <t>渴念幻妄</t>
        </is>
      </c>
      <c r="E20" s="13" t="inlineStr">
        <is>
          <t>超验幻妄</t>
        </is>
      </c>
      <c r="F20" s="13" t="inlineStr">
        <is>
          <t>螺旋乐碎屑</t>
        </is>
      </c>
      <c r="G20" s="13" t="inlineStr">
        <is>
          <t>螺旋乐小节</t>
        </is>
      </c>
      <c r="H20" s="13" t="inlineStr">
        <is>
          <t>螺旋乐齐奏</t>
        </is>
      </c>
    </row>
    <row r="21" ht="22" customHeight="1">
      <c r="A21" s="13" t="inlineStr">
        <is>
          <t>鲸之歌</t>
        </is>
      </c>
      <c r="B21" s="13" t="inlineStr">
        <is>
          <t>等离子</t>
        </is>
      </c>
      <c r="C21" s="13" t="inlineStr">
        <is>
          <t>褪色掠影</t>
        </is>
      </c>
      <c r="D21" s="13" t="inlineStr">
        <is>
          <t>失焦掠影</t>
        </is>
      </c>
      <c r="E21" s="13" t="inlineStr">
        <is>
          <t>晦影掠影</t>
        </is>
      </c>
      <c r="F21" s="13" t="inlineStr">
        <is>
          <t>入门级戏剧芯</t>
        </is>
      </c>
      <c r="G21" s="13" t="inlineStr">
        <is>
          <t>大师级戏剧芯</t>
        </is>
      </c>
      <c r="H21" s="13" t="inlineStr">
        <is>
          <t>典藏级戏剧芯</t>
        </is>
      </c>
    </row>
    <row r="22" ht="22" customHeight="1">
      <c r="A22" s="13" t="inlineStr">
        <is>
          <t>极速之绵</t>
        </is>
      </c>
      <c r="B22" s="13" t="inlineStr">
        <is>
          <t>液态</t>
        </is>
      </c>
      <c r="C22" s="13" t="inlineStr">
        <is>
          <t>悬想幻妄</t>
        </is>
      </c>
      <c r="D22" s="13" t="inlineStr">
        <is>
          <t>渴念幻妄</t>
        </is>
      </c>
      <c r="E22" s="13" t="inlineStr">
        <is>
          <t>超验幻妄</t>
        </is>
      </c>
      <c r="F22" s="13" t="inlineStr">
        <is>
          <t>液态梦试用装</t>
        </is>
      </c>
      <c r="G22" s="13" t="inlineStr">
        <is>
          <t>液态梦旅行装</t>
        </is>
      </c>
      <c r="H22" s="13" t="inlineStr">
        <is>
          <t>灌装液态梦</t>
        </is>
      </c>
    </row>
    <row r="23" ht="22" customHeight="1">
      <c r="A23" s="13" t="inlineStr">
        <is>
          <t>好狗狗走四方</t>
        </is>
      </c>
      <c r="B23" s="13" t="inlineStr">
        <is>
          <t>气态</t>
        </is>
      </c>
      <c r="C23" s="13" t="inlineStr">
        <is>
          <t>模糊数符</t>
        </is>
      </c>
      <c r="D23" s="13" t="inlineStr">
        <is>
          <t>未解数符</t>
        </is>
      </c>
      <c r="E23" s="13" t="inlineStr">
        <is>
          <t>扭曲数符</t>
        </is>
      </c>
      <c r="F23" s="13" t="inlineStr">
        <is>
          <t>无味冷点心</t>
        </is>
      </c>
      <c r="G23" s="13" t="inlineStr">
        <is>
          <t>原味冷点心</t>
        </is>
      </c>
      <c r="H23" s="13" t="inlineStr">
        <is>
          <t>特制冷点心</t>
        </is>
      </c>
    </row>
    <row r="24" ht="22" customHeight="1">
      <c r="A24" s="13" t="inlineStr">
        <is>
          <t>海特洛的安宁</t>
        </is>
      </c>
      <c r="B24" s="13" t="inlineStr">
        <is>
          <t>固态</t>
        </is>
      </c>
      <c r="C24" s="13" t="inlineStr">
        <is>
          <t>褪色掠影</t>
        </is>
      </c>
      <c r="D24" s="13" t="inlineStr">
        <is>
          <t>失焦掠影</t>
        </is>
      </c>
      <c r="E24" s="13" t="inlineStr">
        <is>
          <t>晦影掠影</t>
        </is>
      </c>
      <c r="F24" s="13" t="inlineStr">
        <is>
          <t>铁制苹果核</t>
        </is>
      </c>
      <c r="G24" s="13" t="inlineStr">
        <is>
          <t>银质苹果核</t>
        </is>
      </c>
      <c r="H24" s="13" t="inlineStr">
        <is>
          <t>金色苹果核</t>
        </is>
      </c>
    </row>
    <row r="25" ht="22" customHeight="1">
      <c r="A25" s="13" t="inlineStr">
        <is>
          <t>茶话会</t>
        </is>
      </c>
      <c r="B25" s="13" t="inlineStr">
        <is>
          <t>聚合</t>
        </is>
      </c>
      <c r="C25" s="13" t="inlineStr">
        <is>
          <t>模糊数符</t>
        </is>
      </c>
      <c r="D25" s="13" t="inlineStr">
        <is>
          <t>未解数符</t>
        </is>
      </c>
      <c r="E25" s="13" t="inlineStr">
        <is>
          <t>扭曲数符</t>
        </is>
      </c>
      <c r="F25" s="13" t="inlineStr">
        <is>
          <t>入门级戏剧芯</t>
        </is>
      </c>
      <c r="G25" s="13" t="inlineStr">
        <is>
          <t>大师级戏剧芯</t>
        </is>
      </c>
      <c r="H25" s="13" t="inlineStr">
        <is>
          <t>典藏级戏剧芯</t>
        </is>
      </c>
    </row>
    <row r="26" ht="22" customHeight="1">
      <c r="A26" s="13" t="inlineStr">
        <is>
          <t>不屈之棉</t>
        </is>
      </c>
      <c r="B26" s="13" t="inlineStr">
        <is>
          <t>等离子</t>
        </is>
      </c>
      <c r="C26" s="13" t="inlineStr">
        <is>
          <t>模糊数符</t>
        </is>
      </c>
      <c r="D26" s="13" t="inlineStr">
        <is>
          <t>未解数符</t>
        </is>
      </c>
      <c r="E26" s="13" t="inlineStr">
        <is>
          <t>扭曲数符</t>
        </is>
      </c>
      <c r="F26" s="13" t="inlineStr">
        <is>
          <t>铁制苹果核</t>
        </is>
      </c>
      <c r="G26" s="13" t="inlineStr">
        <is>
          <t>银质苹果核</t>
        </is>
      </c>
      <c r="H26" s="13" t="inlineStr">
        <is>
          <t>金色苹果核</t>
        </is>
      </c>
    </row>
    <row r="27" ht="22" customHeight="1">
      <c r="A27" s="13" t="inlineStr">
        <is>
          <t>扭曲之城的呼唤</t>
        </is>
      </c>
      <c r="B27" s="13" t="inlineStr">
        <is>
          <t>液态</t>
        </is>
      </c>
      <c r="C27" s="13" t="inlineStr">
        <is>
          <t>模糊数符</t>
        </is>
      </c>
      <c r="D27" s="13" t="inlineStr">
        <is>
          <t>未解数符</t>
        </is>
      </c>
      <c r="E27" s="13" t="inlineStr">
        <is>
          <t>扭曲数符</t>
        </is>
      </c>
      <c r="F27" s="13" t="inlineStr">
        <is>
          <t>入门级戏剧芯</t>
        </is>
      </c>
      <c r="G27" s="13" t="inlineStr">
        <is>
          <t>大师级戏剧芯</t>
        </is>
      </c>
      <c r="H27" s="13" t="inlineStr">
        <is>
          <t>典藏级戏剧芯</t>
        </is>
      </c>
    </row>
    <row r="28" ht="22" customHeight="1">
      <c r="A28" s="13" t="inlineStr">
        <is>
          <t>勿忘伞</t>
        </is>
      </c>
      <c r="B28" s="13" t="inlineStr">
        <is>
          <t>聚合</t>
        </is>
      </c>
      <c r="C28" s="13" t="inlineStr">
        <is>
          <t>模糊数符</t>
        </is>
      </c>
      <c r="D28" s="13" t="inlineStr">
        <is>
          <t>未解数符</t>
        </is>
      </c>
      <c r="E28" s="13" t="inlineStr">
        <is>
          <t>扭曲数符</t>
        </is>
      </c>
      <c r="F28" s="13" t="inlineStr">
        <is>
          <t>铁制苹果核</t>
        </is>
      </c>
      <c r="G28" s="13" t="inlineStr">
        <is>
          <t>银质苹果核</t>
        </is>
      </c>
      <c r="H28" s="13" t="inlineStr">
        <is>
          <t>金色苹果核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6" customHeight="1">
      <c r="A1" s="12" t="inlineStr">
        <is>
          <t>材料 3 合 1 合成换算表</t>
        </is>
      </c>
    </row>
    <row r="3">
      <c r="A3" s="3" t="inlineStr">
        <is>
          <t>材料类型</t>
        </is>
      </c>
      <c r="B3" s="3" t="inlineStr">
        <is>
          <t>低级素材</t>
        </is>
      </c>
      <c r="C3" s="3" t="inlineStr">
        <is>
          <t>中级素材</t>
        </is>
      </c>
      <c r="D3" s="3" t="inlineStr">
        <is>
          <t>高级素材</t>
        </is>
      </c>
      <c r="E3" s="3" t="inlineStr">
        <is>
          <t>合成比例</t>
        </is>
      </c>
    </row>
    <row r="4" ht="22" customHeight="1">
      <c r="A4" s="13" t="inlineStr">
        <is>
          <t>泡影罐头.苹果核</t>
        </is>
      </c>
      <c r="B4" s="13" t="inlineStr">
        <is>
          <t>铁制苹果核</t>
        </is>
      </c>
      <c r="C4" s="13" t="inlineStr">
        <is>
          <t>银质苹果核</t>
        </is>
      </c>
      <c r="D4" s="13" t="inlineStr">
        <is>
          <t>金色苹果核</t>
        </is>
      </c>
      <c r="E4" s="13" t="inlineStr">
        <is>
          <t>3低级=1中级, 3中级=1高级</t>
        </is>
      </c>
    </row>
    <row r="5" ht="22" customHeight="1">
      <c r="A5" s="13" t="inlineStr">
        <is>
          <t>泡影罐头.螺旋乐</t>
        </is>
      </c>
      <c r="B5" s="13" t="inlineStr">
        <is>
          <t>螺旋乐碎屑</t>
        </is>
      </c>
      <c r="C5" s="13" t="inlineStr">
        <is>
          <t>螺旋乐小节</t>
        </is>
      </c>
      <c r="D5" s="13" t="inlineStr">
        <is>
          <t>螺旋乐齐奏</t>
        </is>
      </c>
      <c r="E5" s="13" t="inlineStr">
        <is>
          <t>3低级=1中级, 3中级=1高级</t>
        </is>
      </c>
    </row>
    <row r="6" ht="22" customHeight="1">
      <c r="A6" s="13" t="inlineStr">
        <is>
          <t>泡影罐头.液态梦</t>
        </is>
      </c>
      <c r="B6" s="13" t="inlineStr">
        <is>
          <t>液态梦试用装</t>
        </is>
      </c>
      <c r="C6" s="13" t="inlineStr">
        <is>
          <t>液态梦旅行装</t>
        </is>
      </c>
      <c r="D6" s="13" t="inlineStr">
        <is>
          <t>灌装液态梦</t>
        </is>
      </c>
      <c r="E6" s="13" t="inlineStr">
        <is>
          <t>3低级=1中级, 3中级=1高级</t>
        </is>
      </c>
    </row>
    <row r="7" ht="22" customHeight="1">
      <c r="A7" s="13" t="inlineStr">
        <is>
          <t>泡影罐头.冷点心</t>
        </is>
      </c>
      <c r="B7" s="13" t="inlineStr">
        <is>
          <t>无味冷点心</t>
        </is>
      </c>
      <c r="C7" s="13" t="inlineStr">
        <is>
          <t>原味冷点心</t>
        </is>
      </c>
      <c r="D7" s="13" t="inlineStr">
        <is>
          <t>特制冷点心</t>
        </is>
      </c>
      <c r="E7" s="13" t="inlineStr">
        <is>
          <t>3低级=1中级, 3中级=1高级</t>
        </is>
      </c>
    </row>
    <row r="8" ht="22" customHeight="1">
      <c r="A8" s="13" t="inlineStr">
        <is>
          <t>泡影罐头.戏剧芯</t>
        </is>
      </c>
      <c r="B8" s="13" t="inlineStr">
        <is>
          <t>入门级戏剧芯</t>
        </is>
      </c>
      <c r="C8" s="13" t="inlineStr">
        <is>
          <t>大师级戏剧芯</t>
        </is>
      </c>
      <c r="D8" s="13" t="inlineStr">
        <is>
          <t>典藏级戏剧芯</t>
        </is>
      </c>
      <c r="E8" s="13" t="inlineStr">
        <is>
          <t>3低级=1中级, 3中级=1高级</t>
        </is>
      </c>
    </row>
    <row r="9" ht="22" customHeight="1">
      <c r="A9" s="13" t="inlineStr">
        <is>
          <t>小心鸽子(鸽子图案)</t>
        </is>
      </c>
      <c r="B9" s="13" t="inlineStr">
        <is>
          <t>雏鸟的希翼</t>
        </is>
      </c>
      <c r="C9" s="13" t="inlineStr">
        <is>
          <t>白鸽的振翅</t>
        </is>
      </c>
      <c r="D9" s="13" t="inlineStr">
        <is>
          <t>橄榄枝</t>
        </is>
      </c>
      <c r="E9" s="13" t="inlineStr">
        <is>
          <t>3低级=1中级, 3中级=1高级</t>
        </is>
      </c>
    </row>
    <row r="10" ht="22" customHeight="1">
      <c r="A10" s="13" t="inlineStr">
        <is>
          <t>扑克茶会(玫瑰图案)</t>
        </is>
      </c>
      <c r="B10" s="13" t="inlineStr">
        <is>
          <t>新兵的怯懦</t>
        </is>
      </c>
      <c r="C10" s="13" t="inlineStr">
        <is>
          <t>尉官的谨慎</t>
        </is>
      </c>
      <c r="D10" s="13" t="inlineStr">
        <is>
          <t>白蔷薇</t>
        </is>
      </c>
      <c r="E10" s="13" t="inlineStr">
        <is>
          <t>3低级=1中级, 3中级=1高级</t>
        </is>
      </c>
    </row>
    <row r="11" ht="22" customHeight="1">
      <c r="A11" s="13" t="inlineStr">
        <is>
          <t>惊喜派对(帽子图案)</t>
        </is>
      </c>
      <c r="B11" s="13" t="inlineStr">
        <is>
          <t>初次的期许</t>
        </is>
      </c>
      <c r="C11" s="13" t="inlineStr">
        <is>
          <t>已知的倦怠</t>
        </is>
      </c>
      <c r="D11" s="13" t="inlineStr">
        <is>
          <t>黑帽子</t>
        </is>
      </c>
      <c r="E11" s="13" t="inlineStr">
        <is>
          <t>3低级=1中级, 3中级=1高级</t>
        </is>
      </c>
    </row>
    <row r="12" ht="22" customHeight="1">
      <c r="A12" s="13" t="inlineStr">
        <is>
          <t>心电感应(心跳图案)</t>
        </is>
      </c>
      <c r="B12" s="13" t="inlineStr">
        <is>
          <t>思维的同频</t>
        </is>
      </c>
      <c r="C12" s="13" t="inlineStr">
        <is>
          <t>信仰的共鸣</t>
        </is>
      </c>
      <c r="D12" s="13" t="inlineStr">
        <is>
          <t>心跳夜</t>
        </is>
      </c>
      <c r="E12" s="13" t="inlineStr">
        <is>
          <t>3低级=1中级, 3中级=1高级</t>
        </is>
      </c>
    </row>
    <row r="13" ht="22" customHeight="1">
      <c r="A13" s="13" t="inlineStr">
        <is>
          <t>越狱艺术(倒挂图案)</t>
        </is>
      </c>
      <c r="B13" s="13" t="inlineStr">
        <is>
          <t>水波的迟疑</t>
        </is>
      </c>
      <c r="C13" s="13" t="inlineStr">
        <is>
          <t>倒悬的轻响</t>
        </is>
      </c>
      <c r="D13" s="13" t="inlineStr">
        <is>
          <t>第二人</t>
        </is>
      </c>
      <c r="E13" s="13" t="inlineStr">
        <is>
          <t>3低级=1中级, 3中级=1高级</t>
        </is>
      </c>
    </row>
    <row r="14" ht="22" customHeight="1">
      <c r="A14" s="13" t="inlineStr">
        <is>
          <t>絮语系列</t>
        </is>
      </c>
      <c r="B14" s="13" t="inlineStr">
        <is>
          <t>失落絮语</t>
        </is>
      </c>
      <c r="C14" s="13" t="inlineStr">
        <is>
          <t>茫昧絮语</t>
        </is>
      </c>
      <c r="D14" s="13" t="inlineStr">
        <is>
          <t>悖谬絮语</t>
        </is>
      </c>
      <c r="E14" s="13" t="inlineStr">
        <is>
          <t>3低级=1中级, 3中级=1高级</t>
        </is>
      </c>
    </row>
    <row r="15" ht="22" customHeight="1">
      <c r="A15" s="13" t="inlineStr">
        <is>
          <t>掠影系列</t>
        </is>
      </c>
      <c r="B15" s="13" t="inlineStr">
        <is>
          <t>褪色掠影</t>
        </is>
      </c>
      <c r="C15" s="13" t="inlineStr">
        <is>
          <t>失焦掠影</t>
        </is>
      </c>
      <c r="D15" s="13" t="inlineStr">
        <is>
          <t>晦影掠影</t>
        </is>
      </c>
      <c r="E15" s="13" t="inlineStr">
        <is>
          <t>3低级=1中级, 3中级=1高级</t>
        </is>
      </c>
    </row>
    <row r="16" ht="22" customHeight="1">
      <c r="A16" s="13" t="inlineStr">
        <is>
          <t>数符系列</t>
        </is>
      </c>
      <c r="B16" s="13" t="inlineStr">
        <is>
          <t>模糊数符</t>
        </is>
      </c>
      <c r="C16" s="13" t="inlineStr">
        <is>
          <t>未解数符</t>
        </is>
      </c>
      <c r="D16" s="13" t="inlineStr">
        <is>
          <t>扭曲数符</t>
        </is>
      </c>
      <c r="E16" s="13" t="inlineStr">
        <is>
          <t>3低级=1中级, 3中级=1高级</t>
        </is>
      </c>
    </row>
    <row r="17" ht="22" customHeight="1">
      <c r="A17" s="13" t="inlineStr">
        <is>
          <t>幻妄系列</t>
        </is>
      </c>
      <c r="B17" s="13" t="inlineStr">
        <is>
          <t>悬想幻妄</t>
        </is>
      </c>
      <c r="C17" s="13" t="inlineStr">
        <is>
          <t>渴念幻妄</t>
        </is>
      </c>
      <c r="D17" s="13" t="inlineStr">
        <is>
          <t>超验幻妄</t>
        </is>
      </c>
      <c r="E17" s="13" t="inlineStr">
        <is>
          <t>3低级=1中级, 3中级=1高级</t>
        </is>
      </c>
    </row>
    <row r="20">
      <c r="A20" s="15" t="inlineStr">
        <is>
          <t>自动换算计算器</t>
        </is>
      </c>
    </row>
    <row r="22">
      <c r="A22" s="16" t="inlineStr">
        <is>
          <t>输入低级素材数量</t>
        </is>
      </c>
      <c r="B22" s="16" t="inlineStr"/>
      <c r="D22" s="16" t="inlineStr">
        <is>
          <t>输入中级素材数量</t>
        </is>
      </c>
      <c r="E22" s="16" t="inlineStr"/>
    </row>
    <row r="23">
      <c r="A23" s="16" t="inlineStr">
        <is>
          <t>可合成中级</t>
        </is>
      </c>
      <c r="B23" s="16">
        <f>FLOOR(B22/3,1)</f>
        <v/>
      </c>
      <c r="D23" s="16" t="inlineStr">
        <is>
          <t>可合成高级</t>
        </is>
      </c>
      <c r="E23" s="16">
        <f>FLOOR(E22/3,1)</f>
        <v/>
      </c>
    </row>
    <row r="24">
      <c r="A24" s="16" t="inlineStr">
        <is>
          <t>可合成高级</t>
        </is>
      </c>
      <c r="B24" s="16">
        <f>FLOOR(B23/3,1)</f>
        <v/>
      </c>
      <c r="D24" s="16" t="inlineStr">
        <is>
          <t>剩余中级</t>
        </is>
      </c>
      <c r="E24" s="16">
        <f>MOD(E22,3)</f>
        <v/>
      </c>
    </row>
    <row r="25">
      <c r="A25" s="16" t="inlineStr">
        <is>
          <t>剩余低级</t>
        </is>
      </c>
      <c r="B25" s="16">
        <f>MOD(B22,3)</f>
        <v/>
      </c>
      <c r="D25" s="16" t="inlineStr"/>
      <c r="E25" s="16" t="inlineStr"/>
    </row>
  </sheetData>
  <mergeCells count="2">
    <mergeCell ref="A1:E1"/>
    <mergeCell ref="A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26" customHeight="1">
      <c r="A1" s="12" t="inlineStr">
        <is>
          <t>人物经验书对照表</t>
        </is>
      </c>
    </row>
    <row r="3">
      <c r="A3" s="3" t="inlineStr">
        <is>
          <t>材料名称</t>
        </is>
      </c>
      <c r="B3" s="3" t="inlineStr">
        <is>
          <t>提供经验(点)</t>
        </is>
      </c>
    </row>
    <row r="4">
      <c r="A4" s="13" t="inlineStr">
        <is>
          <t>新锐猎人攻略</t>
        </is>
      </c>
      <c r="B4" s="13" t="n">
        <v>1000</v>
      </c>
    </row>
    <row r="5">
      <c r="A5" s="13" t="inlineStr">
        <is>
          <t>资深猎人攻略</t>
        </is>
      </c>
      <c r="B5" s="13" t="n">
        <v>5000</v>
      </c>
    </row>
    <row r="6">
      <c r="A6" s="13" t="inlineStr">
        <is>
          <t>特级猎人攻略</t>
        </is>
      </c>
      <c r="B6" s="13" t="n">
        <v>20000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26" customHeight="1">
      <c r="A1" s="12" t="inlineStr">
        <is>
          <t>弧盘经验书对照表</t>
        </is>
      </c>
    </row>
    <row r="3">
      <c r="A3" s="5" t="inlineStr">
        <is>
          <t>材料名称</t>
        </is>
      </c>
      <c r="B3" s="5" t="inlineStr">
        <is>
          <t>提供经验(点)</t>
        </is>
      </c>
    </row>
    <row r="4">
      <c r="A4" s="13" t="inlineStr">
        <is>
          <t>淡色染剂</t>
        </is>
      </c>
      <c r="B4" s="13" t="n">
        <v>500</v>
      </c>
    </row>
    <row r="5">
      <c r="A5" s="13" t="inlineStr">
        <is>
          <t>无彩染剂</t>
        </is>
      </c>
      <c r="B5" s="13" t="n">
        <v>2500</v>
      </c>
    </row>
    <row r="6">
      <c r="A6" s="13" t="inlineStr">
        <is>
          <t>混沌染剂</t>
        </is>
      </c>
      <c r="B6" s="13" t="n">
        <v>10000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2" t="inlineStr">
        <is>
          <t>技能升级材料总表（累计值）</t>
        </is>
      </c>
    </row>
    <row r="3">
      <c r="A3" s="4" t="inlineStr">
        <is>
          <t>技能等级</t>
        </is>
      </c>
      <c r="B3" s="4" t="inlineStr">
        <is>
          <t>累计低级书</t>
        </is>
      </c>
      <c r="C3" s="4" t="inlineStr">
        <is>
          <t>累计中级书</t>
        </is>
      </c>
      <c r="D3" s="4" t="inlineStr">
        <is>
          <t>累计高级书</t>
        </is>
      </c>
      <c r="E3" s="4" t="inlineStr">
        <is>
          <t>累计周本材料</t>
        </is>
      </c>
      <c r="F3" s="4" t="inlineStr">
        <is>
          <t>累计染剂</t>
        </is>
      </c>
      <c r="G3" s="4" t="inlineStr">
        <is>
          <t>累计金币(万)</t>
        </is>
      </c>
    </row>
    <row r="4" ht="22" customHeight="1">
      <c r="A4" s="13" t="n">
        <v>1</v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</row>
    <row r="5" ht="22" customHeight="1">
      <c r="A5" s="13" t="n">
        <v>2</v>
      </c>
      <c r="B5" s="13" t="n">
        <v>3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0.2</v>
      </c>
    </row>
    <row r="6" ht="22" customHeight="1">
      <c r="A6" s="13" t="n">
        <v>3</v>
      </c>
      <c r="B6" s="13" t="n">
        <v>8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0.5</v>
      </c>
    </row>
    <row r="7" ht="22" customHeight="1">
      <c r="A7" s="13" t="n">
        <v>4</v>
      </c>
      <c r="B7" s="13" t="n">
        <v>8</v>
      </c>
      <c r="C7" s="13" t="n">
        <v>3</v>
      </c>
      <c r="D7" s="13" t="n">
        <v>0</v>
      </c>
      <c r="E7" s="13" t="n">
        <v>0</v>
      </c>
      <c r="F7" s="13" t="n">
        <v>0</v>
      </c>
      <c r="G7" s="13" t="n">
        <v>1</v>
      </c>
    </row>
    <row r="8" ht="22" customHeight="1">
      <c r="A8" s="13" t="n">
        <v>5</v>
      </c>
      <c r="B8" s="13" t="n">
        <v>8</v>
      </c>
      <c r="C8" s="13" t="n">
        <v>8</v>
      </c>
      <c r="D8" s="13" t="n">
        <v>0</v>
      </c>
      <c r="E8" s="13" t="n">
        <v>0</v>
      </c>
      <c r="F8" s="13" t="n">
        <v>0</v>
      </c>
      <c r="G8" s="13" t="n">
        <v>1.8</v>
      </c>
    </row>
    <row r="9" ht="22" customHeight="1">
      <c r="A9" s="13" t="n">
        <v>6</v>
      </c>
      <c r="B9" s="13" t="n">
        <v>8</v>
      </c>
      <c r="C9" s="13" t="n">
        <v>8</v>
      </c>
      <c r="D9" s="13" t="n">
        <v>3</v>
      </c>
      <c r="E9" s="13" t="n">
        <v>1</v>
      </c>
      <c r="F9" s="13" t="n">
        <v>0</v>
      </c>
      <c r="G9" s="13" t="n">
        <v>3.3</v>
      </c>
    </row>
    <row r="10" ht="22" customHeight="1">
      <c r="A10" s="13" t="n">
        <v>7</v>
      </c>
      <c r="B10" s="13" t="n">
        <v>8</v>
      </c>
      <c r="C10" s="13" t="n">
        <v>8</v>
      </c>
      <c r="D10" s="13" t="n">
        <v>8</v>
      </c>
      <c r="E10" s="13" t="n">
        <v>3</v>
      </c>
      <c r="F10" s="13" t="n">
        <v>0</v>
      </c>
      <c r="G10" s="13" t="n">
        <v>5.8</v>
      </c>
    </row>
    <row r="11" ht="22" customHeight="1">
      <c r="A11" s="13" t="n">
        <v>8</v>
      </c>
      <c r="B11" s="13" t="n">
        <v>8</v>
      </c>
      <c r="C11" s="13" t="n">
        <v>8</v>
      </c>
      <c r="D11" s="13" t="n">
        <v>16</v>
      </c>
      <c r="E11" s="13" t="n">
        <v>6</v>
      </c>
      <c r="F11" s="13" t="n">
        <v>0</v>
      </c>
      <c r="G11" s="13" t="n">
        <v>9.800000000000001</v>
      </c>
    </row>
    <row r="12" ht="22" customHeight="1">
      <c r="A12" s="13" t="n">
        <v>9</v>
      </c>
      <c r="B12" s="13" t="n">
        <v>8</v>
      </c>
      <c r="C12" s="13" t="n">
        <v>8</v>
      </c>
      <c r="D12" s="13" t="n">
        <v>28</v>
      </c>
      <c r="E12" s="13" t="n">
        <v>10</v>
      </c>
      <c r="F12" s="13" t="n">
        <v>0</v>
      </c>
      <c r="G12" s="13" t="n">
        <v>15.8</v>
      </c>
    </row>
    <row r="13" ht="22" customHeight="1">
      <c r="A13" s="13" t="n">
        <v>10</v>
      </c>
      <c r="B13" s="13" t="n">
        <v>8</v>
      </c>
      <c r="C13" s="13" t="n">
        <v>8</v>
      </c>
      <c r="D13" s="13" t="n">
        <v>48</v>
      </c>
      <c r="E13" s="13" t="n">
        <v>16</v>
      </c>
      <c r="F13" s="13" t="n">
        <v>0</v>
      </c>
      <c r="G13" s="13" t="n">
        <v>25.8</v>
      </c>
    </row>
    <row r="15">
      <c r="A15" s="17" t="inlineStr">
        <is>
          <t>注：以上为示例数据。技能A和技能B共用此表，如游戏内两技能材料不同，请复制此表分别命名。</t>
        </is>
      </c>
    </row>
  </sheetData>
  <mergeCells count="2"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2026-06-05T09:14:54Z</dcterms:created>
  <dcterms:modified xsi:type="dcterms:W3CDTF">2026-06-05T09:14:54Z</dcterms:modified>
</cp:coreProperties>
</file>